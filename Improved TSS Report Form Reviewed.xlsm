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11" codeName="{51196F13-6AD0-C1B8-E2B4-A1F9AE17003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mtgmacpro11/Downloads/"/>
    </mc:Choice>
  </mc:AlternateContent>
  <xr:revisionPtr revIDLastSave="0" documentId="13_ncr:1_{9CDCF9D2-588A-A042-8A8B-54A5585D2738}" xr6:coauthVersionLast="41" xr6:coauthVersionMax="47" xr10:uidLastSave="{00000000-0000-0000-0000-000000000000}"/>
  <bookViews>
    <workbookView xWindow="0" yWindow="460" windowWidth="23260" windowHeight="12460" xr2:uid="{5554B565-6022-4877-A422-C5BCB4FA2528}"/>
  </bookViews>
  <sheets>
    <sheet name="Audit Form" sheetId="1" r:id="rId1"/>
  </sheets>
  <definedNames>
    <definedName name="DynamicList" localSheetId="0">'Audit Form'!$AA$1:$AA$26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38" i="1" l="1"/>
  <c r="J133" i="1"/>
  <c r="J110" i="1"/>
  <c r="J189" i="1" l="1"/>
  <c r="J178" i="1"/>
  <c r="J150" i="1"/>
  <c r="H150" i="1"/>
  <c r="A152" i="1"/>
  <c r="A153" i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186" i="1"/>
  <c r="A187" i="1"/>
  <c r="A188" i="1"/>
  <c r="A189" i="1"/>
  <c r="A151" i="1"/>
  <c r="R155" i="1" l="1"/>
  <c r="R154" i="1"/>
  <c r="R153" i="1"/>
  <c r="R152" i="1"/>
  <c r="R151" i="1"/>
  <c r="R150" i="1"/>
  <c r="J171" i="1"/>
  <c r="J172" i="1"/>
  <c r="J173" i="1"/>
  <c r="J174" i="1"/>
  <c r="J175" i="1"/>
  <c r="J176" i="1"/>
  <c r="J177" i="1"/>
  <c r="J179" i="1"/>
  <c r="J180" i="1"/>
  <c r="J181" i="1"/>
  <c r="J182" i="1"/>
  <c r="J183" i="1"/>
  <c r="J184" i="1"/>
  <c r="J185" i="1"/>
  <c r="J186" i="1"/>
  <c r="J187" i="1"/>
  <c r="J188" i="1"/>
  <c r="H170" i="1"/>
  <c r="J170" i="1" s="1"/>
  <c r="H159" i="1"/>
  <c r="H160" i="1"/>
  <c r="H161" i="1"/>
  <c r="H162" i="1"/>
  <c r="H163" i="1"/>
  <c r="H164" i="1"/>
  <c r="H165" i="1"/>
  <c r="H166" i="1"/>
  <c r="H167" i="1"/>
  <c r="H168" i="1"/>
  <c r="H169" i="1"/>
  <c r="J169" i="1" s="1"/>
  <c r="H158" i="1"/>
  <c r="H152" i="1"/>
  <c r="H153" i="1"/>
  <c r="H154" i="1"/>
  <c r="H155" i="1"/>
  <c r="H156" i="1"/>
  <c r="H157" i="1"/>
  <c r="H151" i="1"/>
  <c r="J151" i="1" s="1"/>
  <c r="E140" i="1" l="1"/>
  <c r="F140" i="1"/>
  <c r="F139" i="1"/>
  <c r="F138" i="1"/>
  <c r="E139" i="1"/>
  <c r="E138" i="1"/>
  <c r="C140" i="1"/>
  <c r="C139" i="1"/>
  <c r="C138" i="1"/>
  <c r="B140" i="1"/>
  <c r="B139" i="1"/>
  <c r="Z343" i="1"/>
  <c r="Z342" i="1"/>
  <c r="Z341" i="1"/>
  <c r="Z340" i="1"/>
  <c r="Z339" i="1"/>
  <c r="Z338" i="1"/>
  <c r="Z337" i="1"/>
  <c r="Z336" i="1"/>
  <c r="Z335" i="1"/>
  <c r="Z334" i="1"/>
  <c r="Z333" i="1"/>
  <c r="Z332" i="1"/>
  <c r="Z331" i="1"/>
  <c r="Z330" i="1"/>
  <c r="Z329" i="1"/>
  <c r="Z328" i="1"/>
  <c r="Z327" i="1"/>
  <c r="Z326" i="1"/>
  <c r="Z325" i="1"/>
  <c r="Z324" i="1"/>
  <c r="Z323" i="1"/>
  <c r="Z322" i="1"/>
  <c r="Z321" i="1"/>
  <c r="Z320" i="1"/>
  <c r="Z319" i="1"/>
  <c r="Z318" i="1"/>
  <c r="Z317" i="1"/>
  <c r="Z316" i="1"/>
  <c r="Z315" i="1"/>
  <c r="Z314" i="1"/>
  <c r="Z313" i="1"/>
  <c r="Z312" i="1"/>
  <c r="Z311" i="1"/>
  <c r="Z310" i="1"/>
  <c r="Z309" i="1"/>
  <c r="Z308" i="1"/>
  <c r="Z307" i="1"/>
  <c r="Z306" i="1"/>
  <c r="Z305" i="1"/>
  <c r="Z304" i="1"/>
  <c r="Z303" i="1"/>
  <c r="Z302" i="1"/>
  <c r="Z301" i="1"/>
  <c r="Z300" i="1"/>
  <c r="Z299" i="1"/>
  <c r="Z298" i="1"/>
  <c r="Z297" i="1"/>
  <c r="Z296" i="1"/>
  <c r="Z295" i="1"/>
  <c r="Z294" i="1"/>
  <c r="Z293" i="1"/>
  <c r="Z292" i="1"/>
  <c r="Z291" i="1"/>
  <c r="Z290" i="1"/>
  <c r="Z289" i="1"/>
  <c r="Z288" i="1"/>
  <c r="Z287" i="1"/>
  <c r="Z286" i="1"/>
  <c r="Z285" i="1"/>
  <c r="Z284" i="1"/>
  <c r="Z283" i="1"/>
  <c r="Z282" i="1"/>
  <c r="Z281" i="1"/>
  <c r="Z280" i="1"/>
  <c r="Z279" i="1"/>
  <c r="Z278" i="1"/>
  <c r="Z277" i="1"/>
  <c r="Z276" i="1"/>
  <c r="Z275" i="1"/>
  <c r="Z274" i="1"/>
  <c r="Z273" i="1"/>
  <c r="Z272" i="1"/>
  <c r="Z271" i="1"/>
  <c r="Z270" i="1"/>
  <c r="Z269" i="1"/>
  <c r="Z268" i="1"/>
  <c r="Z267" i="1"/>
  <c r="Z266" i="1"/>
  <c r="Z265" i="1"/>
  <c r="Z264" i="1"/>
  <c r="Z263" i="1"/>
  <c r="Z262" i="1"/>
  <c r="Z261" i="1"/>
  <c r="Z260" i="1"/>
  <c r="Z259" i="1"/>
  <c r="Z258" i="1"/>
  <c r="Z257" i="1"/>
  <c r="Z256" i="1"/>
  <c r="Z255" i="1"/>
  <c r="Z254" i="1"/>
  <c r="Z253" i="1"/>
  <c r="Z252" i="1"/>
  <c r="Z251" i="1"/>
  <c r="Z250" i="1"/>
  <c r="Z249" i="1"/>
  <c r="Z248" i="1"/>
  <c r="Z247" i="1"/>
  <c r="Z246" i="1"/>
  <c r="Z245" i="1"/>
  <c r="Z244" i="1"/>
  <c r="J168" i="1"/>
  <c r="J167" i="1"/>
  <c r="J166" i="1"/>
  <c r="J165" i="1"/>
  <c r="J164" i="1"/>
  <c r="J163" i="1"/>
  <c r="J162" i="1"/>
  <c r="J161" i="1"/>
  <c r="J160" i="1"/>
  <c r="J159" i="1"/>
  <c r="J158" i="1"/>
  <c r="J157" i="1"/>
  <c r="J156" i="1"/>
  <c r="J155" i="1"/>
  <c r="J154" i="1"/>
  <c r="J153" i="1"/>
  <c r="J152" i="1"/>
  <c r="R167" i="1"/>
  <c r="A150" i="1"/>
  <c r="J132" i="1"/>
  <c r="J131" i="1"/>
  <c r="J130" i="1"/>
  <c r="J129" i="1"/>
  <c r="J128" i="1"/>
  <c r="J127" i="1"/>
  <c r="J126" i="1"/>
  <c r="J125" i="1"/>
  <c r="J124" i="1"/>
  <c r="J123" i="1"/>
  <c r="J122" i="1"/>
  <c r="J121" i="1"/>
  <c r="J120" i="1"/>
  <c r="J119" i="1"/>
  <c r="J118" i="1"/>
  <c r="J117" i="1"/>
  <c r="J116" i="1"/>
  <c r="J115" i="1"/>
  <c r="J114" i="1"/>
  <c r="J113" i="1"/>
  <c r="J112" i="1"/>
  <c r="J111" i="1"/>
  <c r="J109" i="1"/>
  <c r="J108" i="1"/>
  <c r="J107" i="1"/>
  <c r="J106" i="1"/>
  <c r="J105" i="1"/>
  <c r="J104" i="1"/>
  <c r="I83" i="1"/>
  <c r="E83" i="1"/>
  <c r="C83" i="1"/>
  <c r="G81" i="1"/>
  <c r="G80" i="1"/>
  <c r="G79" i="1"/>
  <c r="G78" i="1"/>
  <c r="G77" i="1"/>
  <c r="G76" i="1"/>
  <c r="G71" i="1"/>
  <c r="E71" i="1"/>
  <c r="C71" i="1"/>
  <c r="I69" i="1"/>
  <c r="I68" i="1"/>
  <c r="I67" i="1"/>
  <c r="I66" i="1"/>
  <c r="I65" i="1"/>
  <c r="I64" i="1"/>
  <c r="E2" i="1"/>
  <c r="G83" i="1" l="1"/>
  <c r="I71" i="1"/>
  <c r="I140" i="1"/>
  <c r="J140" i="1" s="1"/>
  <c r="I138" i="1"/>
  <c r="J138" i="1" s="1"/>
  <c r="J190" i="1"/>
</calcChain>
</file>

<file path=xl/sharedStrings.xml><?xml version="1.0" encoding="utf-8"?>
<sst xmlns="http://schemas.openxmlformats.org/spreadsheetml/2006/main" count="521" uniqueCount="340">
  <si>
    <t>OKOTA 56 AGO PALACE WAY</t>
  </si>
  <si>
    <t>State:</t>
  </si>
  <si>
    <t>ABUJA</t>
  </si>
  <si>
    <t>GBAGADA GBAGADA EXPRESSWAY</t>
  </si>
  <si>
    <t>Yes - Constantly</t>
  </si>
  <si>
    <t>IKEJA GRA JOEL OGUNNAIKE STREET</t>
  </si>
  <si>
    <t>No</t>
  </si>
  <si>
    <t>AKOWONJO SHASHA ROAD</t>
  </si>
  <si>
    <t>Yes - Occationally</t>
  </si>
  <si>
    <t>ALABA DENSINE PLAZA OLOJO DRIVE</t>
  </si>
  <si>
    <t>OJUELEGBA SHIFAWU STREET</t>
  </si>
  <si>
    <t>MARYLANDMOBOLAJI BANK ANTHONY WAY</t>
  </si>
  <si>
    <t>RET SHOP -AREA 1 COMPLEX ABUJA(077)</t>
  </si>
  <si>
    <t>OSHODI OSHODI-APAPA EXPRESSWAY</t>
  </si>
  <si>
    <t>MAFOLUKU INTL AIRPORT ROAD</t>
  </si>
  <si>
    <t>LEKKI PHASE I ADMIRALTY WAY</t>
  </si>
  <si>
    <t>RET SHOP - JANKARA  LAGOS ISD(002)</t>
  </si>
  <si>
    <t>Aluminium</t>
  </si>
  <si>
    <t>Good</t>
  </si>
  <si>
    <t>Flat</t>
  </si>
  <si>
    <t>Bungalow</t>
  </si>
  <si>
    <t>RET SHOP - OKOTA ISOLO LAGOS (004)</t>
  </si>
  <si>
    <t>Zinc</t>
  </si>
  <si>
    <t>Fair</t>
  </si>
  <si>
    <t>Inclined</t>
  </si>
  <si>
    <t>1-Storey</t>
  </si>
  <si>
    <t>Yes</t>
  </si>
  <si>
    <t>RET SHOP - ALUMINUM VILLAGE (011)</t>
  </si>
  <si>
    <t>Clay</t>
  </si>
  <si>
    <t>Bad</t>
  </si>
  <si>
    <t>2-Storey</t>
  </si>
  <si>
    <t>RET SHOP - IDDO EBUTE METTA)</t>
  </si>
  <si>
    <t>Decking</t>
  </si>
  <si>
    <t>3-Storey</t>
  </si>
  <si>
    <t>RET SHOP - OGUNLANA DRIVE (051)</t>
  </si>
  <si>
    <t>High Rise</t>
  </si>
  <si>
    <t>RET SHOP - IFAKO GBAGADA (087)</t>
  </si>
  <si>
    <t>Skyscraper</t>
  </si>
  <si>
    <t>RET SHOP - KETU (088)</t>
  </si>
  <si>
    <t>RET SHOP - IKOTA VGC LAGOS (095)</t>
  </si>
  <si>
    <t>BOGIJE CLOSA OUTLET </t>
  </si>
  <si>
    <t>SANGOTEDO CLOSA OUTLET </t>
  </si>
  <si>
    <t>AGBOWA CLOSA OUTLET </t>
  </si>
  <si>
    <t xml:space="preserve">ETIEBET’S HOUSE BRANCH </t>
  </si>
  <si>
    <t xml:space="preserve">NUMBER ONE BRANCH </t>
  </si>
  <si>
    <t>TRINITY TOWERS BRANCH</t>
  </si>
  <si>
    <t>ALAGBADO 2</t>
  </si>
  <si>
    <t>IDASHO IBEJU BRANCH</t>
  </si>
  <si>
    <t>1 unit</t>
  </si>
  <si>
    <t>220V</t>
  </si>
  <si>
    <t>AGO</t>
  </si>
  <si>
    <t>5kVA</t>
  </si>
  <si>
    <t>MAIKANO</t>
  </si>
  <si>
    <t>2 units</t>
  </si>
  <si>
    <t>400V</t>
  </si>
  <si>
    <t>PMS</t>
  </si>
  <si>
    <t>7.5kVA</t>
  </si>
  <si>
    <t>JMG</t>
  </si>
  <si>
    <t>3 units</t>
  </si>
  <si>
    <t>11kV</t>
  </si>
  <si>
    <t>LPG</t>
  </si>
  <si>
    <t>10kVA</t>
  </si>
  <si>
    <t>FG WILSON</t>
  </si>
  <si>
    <t>4 units</t>
  </si>
  <si>
    <t>33kV</t>
  </si>
  <si>
    <t>LNG</t>
  </si>
  <si>
    <t>12kVA</t>
  </si>
  <si>
    <t>CAT</t>
  </si>
  <si>
    <t>5 units</t>
  </si>
  <si>
    <t>18kVA</t>
  </si>
  <si>
    <t>JUBAILLI</t>
  </si>
  <si>
    <t>20kVA</t>
  </si>
  <si>
    <t>CUMMINS</t>
  </si>
  <si>
    <t>22kVA</t>
  </si>
  <si>
    <t>PERKINS</t>
  </si>
  <si>
    <t>30kVA</t>
  </si>
  <si>
    <t>DEUTZ</t>
  </si>
  <si>
    <t>40kVA</t>
  </si>
  <si>
    <t>45kVA</t>
  </si>
  <si>
    <t>50kVA</t>
  </si>
  <si>
    <t>60kVA</t>
  </si>
  <si>
    <t>80kVA</t>
  </si>
  <si>
    <t>100kVA</t>
  </si>
  <si>
    <t>110kVA</t>
  </si>
  <si>
    <t>120kVA</t>
  </si>
  <si>
    <t>150kVA</t>
  </si>
  <si>
    <t>180kVA</t>
  </si>
  <si>
    <t>200kVA</t>
  </si>
  <si>
    <t>220kVA</t>
  </si>
  <si>
    <t>250kVA</t>
  </si>
  <si>
    <t>330kVA</t>
  </si>
  <si>
    <t>500kVA</t>
  </si>
  <si>
    <t>Averages</t>
  </si>
  <si>
    <t>Averages:</t>
  </si>
  <si>
    <t>DESKTOP COMPUTERS</t>
  </si>
  <si>
    <t>LAPTOP COMPUTERS</t>
  </si>
  <si>
    <t>FLOURESCENT LIGHT BULBS</t>
  </si>
  <si>
    <t>ATM</t>
  </si>
  <si>
    <t>LED TV</t>
  </si>
  <si>
    <t>DISPLAY BOARDS</t>
  </si>
  <si>
    <t>REFRIGERATOTS</t>
  </si>
  <si>
    <t>STANDING FANS</t>
  </si>
  <si>
    <t>MICROWAVE OVENS</t>
  </si>
  <si>
    <t>ELECTRIC KETTLES</t>
  </si>
  <si>
    <t>WATER DISPENSERS</t>
  </si>
  <si>
    <t>WATER PUMPING MACHINES</t>
  </si>
  <si>
    <t>PRINTERS</t>
  </si>
  <si>
    <t>TIME STAMPERS</t>
  </si>
  <si>
    <t>BANK NOTE COUNTING MACHINES</t>
  </si>
  <si>
    <t>TOTAL POWER (kW):</t>
  </si>
  <si>
    <t xml:space="preserve">ABIA </t>
  </si>
  <si>
    <t xml:space="preserve">RIVERS </t>
  </si>
  <si>
    <t>PH SILVER VALLEY TRANS-AMADI RD</t>
  </si>
  <si>
    <t>Trans Amadi Ii, Silver Valley, Along Trans-Amadi Rd, Ph</t>
  </si>
  <si>
    <t xml:space="preserve">IMO </t>
  </si>
  <si>
    <t>OKIGWE 58 OWERRI ROAD</t>
  </si>
  <si>
    <t xml:space="preserve">Okigwe 58/60 Owerri Road </t>
  </si>
  <si>
    <t xml:space="preserve">ANAMBRA </t>
  </si>
  <si>
    <t xml:space="preserve">LAGOS </t>
  </si>
  <si>
    <t>Ago Palace Way, Okota</t>
  </si>
  <si>
    <t xml:space="preserve">BAUCHI </t>
  </si>
  <si>
    <t xml:space="preserve">Gbagada, Plot 228, Gbagada Residential Scheme </t>
  </si>
  <si>
    <t xml:space="preserve">BAYELSA </t>
  </si>
  <si>
    <t xml:space="preserve">OSUN </t>
  </si>
  <si>
    <t>ILESHA ITA BALOGUN STREET</t>
  </si>
  <si>
    <t xml:space="preserve">Ilesha, 36/38 Ita Balogun St. </t>
  </si>
  <si>
    <t>BENUE</t>
  </si>
  <si>
    <t>UMUAHIA IKOT - EKPENE ROAD)</t>
  </si>
  <si>
    <t>Umuahia Industrial Mkt, Umuahia</t>
  </si>
  <si>
    <t xml:space="preserve">BORNO </t>
  </si>
  <si>
    <t>13 Joel Ogunnaike St, Ikeja Gra</t>
  </si>
  <si>
    <t xml:space="preserve">CROSS RIVER </t>
  </si>
  <si>
    <t xml:space="preserve">OGUN </t>
  </si>
  <si>
    <t>OTTA IDIROKO ROAD</t>
  </si>
  <si>
    <t>Km 4, Idiroko Rd, Otta</t>
  </si>
  <si>
    <t xml:space="preserve">DELTA </t>
  </si>
  <si>
    <t>No. 205 Sasha Road, Akowonjo</t>
  </si>
  <si>
    <t xml:space="preserve">EBONYI </t>
  </si>
  <si>
    <t>ABEOKUTA ADATAN ROAD</t>
  </si>
  <si>
    <t>Opposite Nnpc Filling Station, Adatan Rd, Abeokuta</t>
  </si>
  <si>
    <t xml:space="preserve">EDO </t>
  </si>
  <si>
    <t>CALABAR NDIDEM USANG ISO ROAD</t>
  </si>
  <si>
    <t>A13, Kasuk Street, State Housing Estate, Calabar, Cross Rivers State</t>
  </si>
  <si>
    <t xml:space="preserve">EKITI </t>
  </si>
  <si>
    <t xml:space="preserve">ENUGU </t>
  </si>
  <si>
    <t>ENUGU NIKE LAKE ROAD</t>
  </si>
  <si>
    <t>51 Nike Lake Rd, Beside Nowas Filling Station</t>
  </si>
  <si>
    <t>Densine Plaza, Olojo Drive, Alaba, Ojo</t>
  </si>
  <si>
    <t xml:space="preserve">KADUNA </t>
  </si>
  <si>
    <t>KADUNA ISA KAITA ROAD</t>
  </si>
  <si>
    <t>Plot 24, Isa Kaita Rd Branch, Ungwar Sarki, Kaduna</t>
  </si>
  <si>
    <t xml:space="preserve">JIGAWA </t>
  </si>
  <si>
    <t>53/55 Shifawu St, Ojuelegba</t>
  </si>
  <si>
    <t>4A Mobolaji Bank Anthony Way, Maryland</t>
  </si>
  <si>
    <t xml:space="preserve">KANO </t>
  </si>
  <si>
    <t xml:space="preserve">OYO </t>
  </si>
  <si>
    <t>IBADAN AGBENI MARKET</t>
  </si>
  <si>
    <t>Amunigun Street, Ogunpa, Agbeni</t>
  </si>
  <si>
    <t xml:space="preserve">KEBBI </t>
  </si>
  <si>
    <t xml:space="preserve">ONDO </t>
  </si>
  <si>
    <t>ORE BRANCH</t>
  </si>
  <si>
    <t>Adjacent Nnpc Depot, Ore-Ondo</t>
  </si>
  <si>
    <t xml:space="preserve">KOGI </t>
  </si>
  <si>
    <t>16B Oshodi-Apapa Expressway</t>
  </si>
  <si>
    <t>UGHELLI MARKET ROAD</t>
  </si>
  <si>
    <t>No. 89 Market Road, Ughelli, Delta State.</t>
  </si>
  <si>
    <t xml:space="preserve">NASSARAWA </t>
  </si>
  <si>
    <t>OGBOMOSHO ILORIN ROAD</t>
  </si>
  <si>
    <t>Along Ilorin Road, Takie Area, Ogbomosho, Oyo State</t>
  </si>
  <si>
    <t>Plot 8, Murtala Mohammed Intl Airport Rd</t>
  </si>
  <si>
    <t>LIFE CAMP ABUJA JABI-KARMO ROAD</t>
  </si>
  <si>
    <t>Plot 176 Jabi-Karmo Road, After Fish Market Life Camp</t>
  </si>
  <si>
    <t>Plot 1, Block 36, Lekki Peninsula Scheme 1, Lagos State</t>
  </si>
  <si>
    <t>RET SHOP - OSISIOMA (001)</t>
  </si>
  <si>
    <t>Osisioma, Umuakpara Osisioma, Ngwa Local Government</t>
  </si>
  <si>
    <t xml:space="preserve">PLATEAU </t>
  </si>
  <si>
    <t>RETAIL SHOP - ARIARIA (001)</t>
  </si>
  <si>
    <t>Ariaria Mkt Mini, Faulks Road, Aba</t>
  </si>
  <si>
    <t>Jankara Market(No. 7 Idumagbo Road, Lagos Island)</t>
  </si>
  <si>
    <t>No. 116/118, Ago Palace Way, Okota</t>
  </si>
  <si>
    <t>RET SHOP - WARRI (005)</t>
  </si>
  <si>
    <t>Warri Refinery, Warri Refinery And Petroleum Company, Uvwie</t>
  </si>
  <si>
    <t>RET SHOP - BAYERO UNI. KANO (007)</t>
  </si>
  <si>
    <t>Bayero University Road, C31, Kofa Wuka Duya, Along Bayero University, Kano</t>
  </si>
  <si>
    <t>Aluminium Village, No. 17, Ogeretedo St., Alum. Village, Dopemu</t>
  </si>
  <si>
    <t>OWO BRANCH</t>
  </si>
  <si>
    <t>128 Oba Adesina Road</t>
  </si>
  <si>
    <t>RET SHOP- SAVANNAH SUITES ABJ(013)</t>
  </si>
  <si>
    <t>Savannah Suite Hotel</t>
  </si>
  <si>
    <t>RET SHOP - KATAKO (015)</t>
  </si>
  <si>
    <t xml:space="preserve">Katako Market, No. 68 &amp; 70, Mallam Kure Street, Laranto </t>
  </si>
  <si>
    <t>RET SHOP - FUTO (017)</t>
  </si>
  <si>
    <t>Futo Mini,Federal University Of Technology, Ihiagwa, Owerri</t>
  </si>
  <si>
    <t>RET SHOP - UNIV. OF MAIDUGURI (020)</t>
  </si>
  <si>
    <t>Unimaid, University Of Maiduguri</t>
  </si>
  <si>
    <t>SANGO-IBADAN BRANCH</t>
  </si>
  <si>
    <t>Along Poly Road, Sango</t>
  </si>
  <si>
    <t>RET SHOP - N/BANK MAKURDI (034)</t>
  </si>
  <si>
    <t>North Bank, N0.1, Udei Street, North Bank, Makurdi</t>
  </si>
  <si>
    <t>RET SHOP - EBONYI STATE UNIV (035)</t>
  </si>
  <si>
    <t>Ebsu, Ebonyi State University, Abakiliki</t>
  </si>
  <si>
    <t>RET SHOP - UMUAHIA (039)</t>
  </si>
  <si>
    <t>Umuahia Mini, 2 Owerri Rd, Umuahia</t>
  </si>
  <si>
    <t>Iddo Market Mini, Iddo Ultramodern Market</t>
  </si>
  <si>
    <t>Ogunlana Drive, 33 Ogunlana Drive, Surulere</t>
  </si>
  <si>
    <t>RET SHOP - DAWANUA KANO (058)</t>
  </si>
  <si>
    <t>Dawanau Mini, Dawanau Market, Along Kano-Katsina Rd</t>
  </si>
  <si>
    <t>RET SHOP-NASS. STATE UNI.KEFFI(073)</t>
  </si>
  <si>
    <t>Nassarawa State University, Keffi</t>
  </si>
  <si>
    <t>Area 1, 1Stfloor, Area 1 Shopping Complex, Abuja</t>
  </si>
  <si>
    <t>RET SHOP - NGWA ROAD (078)</t>
  </si>
  <si>
    <t>Ngwa Rd Mini, 20, Ngwa Road Aba</t>
  </si>
  <si>
    <t>RET SHOP-NIGER DELTA UNI. MINI(082)</t>
  </si>
  <si>
    <t>Niger Delta University Mini, Amasoma</t>
  </si>
  <si>
    <t>Gbagada/Ifako, 20, Diya Street, Ifako, Gbagada</t>
  </si>
  <si>
    <t>Ketu, Plot 608, Lagos -Ikorodu Road, Ketu Mile 12</t>
  </si>
  <si>
    <t>RET SHOP - IMO STATE SECTARIAT(090)</t>
  </si>
  <si>
    <t>Imo State Secretariat, Port Harcourt Road, Owerri</t>
  </si>
  <si>
    <t>RET SHOP - NAZE MARKET (090)</t>
  </si>
  <si>
    <t>Building Materials Market, Naze, Owerri</t>
  </si>
  <si>
    <t>Ikota Retail Shop, C96 -101, Ikota Shopping Complex, Vgc</t>
  </si>
  <si>
    <t>MONOTAN-IBADAN BRANCH</t>
  </si>
  <si>
    <t>Monotan Road</t>
  </si>
  <si>
    <t>RET SHOP - ZARIA (127)</t>
  </si>
  <si>
    <t xml:space="preserve">60 Sokoto Rd. Samaru, Zaria </t>
  </si>
  <si>
    <t>RET SHOP - BABCOCK UNIVERSITY (137)</t>
  </si>
  <si>
    <t xml:space="preserve">Babcock University Cash Centre, Ilishan Remo (Jan 13) </t>
  </si>
  <si>
    <t>IPETU IJESHA BRANCH</t>
  </si>
  <si>
    <t xml:space="preserve">Former Oja Oba Market, University Road, Ipetu Ijesa, Osun State
</t>
  </si>
  <si>
    <t>OKPANAM ROAD BRANCH</t>
  </si>
  <si>
    <t>43, Okpanam Road Asaba</t>
  </si>
  <si>
    <t>EKENWA-BENIN BRANCH</t>
  </si>
  <si>
    <t>Along Ekenwan Road, Opposite Gt Plaza</t>
  </si>
  <si>
    <t>GBAGI MARKET BRANCH</t>
  </si>
  <si>
    <t>New Gbagi Market</t>
  </si>
  <si>
    <t>ABULOMA CLOSA OUTLET </t>
  </si>
  <si>
    <t>25 Abuloma Amadi-Ama Road, Abuloma, Port-Harcourt</t>
  </si>
  <si>
    <t>Lekki Epe Exp Way, Bogije Bus Stop After Kunech Oil And Gas Ltd</t>
  </si>
  <si>
    <t>Km 43 Lekki-Epe Exp Way, Farm Bus Stop Opposite Skymall Sangotedo</t>
  </si>
  <si>
    <t>YENEGOA CLOSA OUTLET </t>
  </si>
  <si>
    <t>Nigerian Law School Agudama Yenegoa Bayelsa State.</t>
  </si>
  <si>
    <t>OLEH CLOSA OUTLET </t>
  </si>
  <si>
    <t>Emore Road By Water Board Oleh, Delta State </t>
  </si>
  <si>
    <t>General Hospital Road ,Opposite St. Peter Catholic Church ,Agbowa-Ikosi</t>
  </si>
  <si>
    <t>EGBE CLOSA OUTLET </t>
  </si>
  <si>
    <t> Isaba Area, Ilorin/Kabba Road, Egbe, Kogi State</t>
  </si>
  <si>
    <t>GONIN-GORA CLOSA OUTLET </t>
  </si>
  <si>
    <t> Kaduna-Abuja Express Way, Gonin Gora</t>
  </si>
  <si>
    <t>OKENE CLOSA OUTLET </t>
  </si>
  <si>
    <t> Along Okene-Kabba Road, Adavi Local Government Area Kogi State</t>
  </si>
  <si>
    <t>21-22, Mobolaji Bank Anthony Way, Ikeja Lagos </t>
  </si>
  <si>
    <t>1, Akin Adesola Street, Victoria Island</t>
  </si>
  <si>
    <t>Rccg, Trinity Towers, City Of David Church Road, Oniru Estate, Off Ligali Ayorinde Street, Victoria Island, Lagos.</t>
  </si>
  <si>
    <t>CEMETARY MARKET BRANCH ABA</t>
  </si>
  <si>
    <t>Line 2, Cemetary Market, Aba</t>
  </si>
  <si>
    <t>ONITSHA - RELIEF MARKET BRANCH</t>
  </si>
  <si>
    <t>House B, Bank Line, Relief Main Market, Ogbaru - Onitsha</t>
  </si>
  <si>
    <t>ONITSHA - 33 TRANS-NKISI BRANCH</t>
  </si>
  <si>
    <t xml:space="preserve">Plot R/L 13 Trans-Nkisi Layout, Phase 1 </t>
  </si>
  <si>
    <t>OBA BRANCH</t>
  </si>
  <si>
    <t>Old Onitsha Road Opposite Igwe'S Palace Oba, Idemmili North</t>
  </si>
  <si>
    <t>OWERRI - ALABA MARKET BRANCH</t>
  </si>
  <si>
    <t>Alaba Market, Naze Aba/Owerri Road</t>
  </si>
  <si>
    <t>UNIVERSITY OF IBADANCAMPUS BRANCH</t>
  </si>
  <si>
    <t>University Of Ibadan Campus Branch, Along  Ui International School Road, Ibadan, Oyo State, Nigeria.</t>
  </si>
  <si>
    <t>REGIONAL OFFICE PORT HARCOURT</t>
  </si>
  <si>
    <t>226, Aba Road, Port Harcourt</t>
  </si>
  <si>
    <t>AWKUZU BRANCH</t>
  </si>
  <si>
    <t>Awkuzu/Ifitedunu Road, Awkuzu. Anambra State</t>
  </si>
  <si>
    <t>12 ABA ROAD BRANCH</t>
  </si>
  <si>
    <t>12 Aba Road, Leventis Ag. Port Harcourt, Rivers State.</t>
  </si>
  <si>
    <t>SABO OWODE-YEWA BRANCH</t>
  </si>
  <si>
    <t>95, Lagos Road Opposite Zenith Bank. Sabo Owode Yewa</t>
  </si>
  <si>
    <t>IFO BRANCH</t>
  </si>
  <si>
    <t>Km 93, Lagos Abeokuta Express Way, Matthew Bus Stop, Ifo.</t>
  </si>
  <si>
    <t>WUYE BRANCH</t>
  </si>
  <si>
    <t>Wuye Ultra-Modern Market, Idris Gidado Street, Wuye Abuj</t>
  </si>
  <si>
    <t>No 1, Alhaji Akibu Adeniji Street, Jankara, (Jankara Market, Auto Spare Parts Section) Ijaiye, Lagos State</t>
  </si>
  <si>
    <t>Opposite Road Safety Office, Idasho  Ibeju-Lekki</t>
  </si>
  <si>
    <t>GUMEL BRANCH</t>
  </si>
  <si>
    <t>Plot 97, Kano Road, Gumel , Jigawa State</t>
  </si>
  <si>
    <t>ELELE BRANCH</t>
  </si>
  <si>
    <t>Plot 100 Portharcourt Road, Elele</t>
  </si>
  <si>
    <t>KURA BRANCH</t>
  </si>
  <si>
    <t>Acb, Along Zaria Road, Kura Lga, Kano State</t>
  </si>
  <si>
    <t>WUDIL BRANCH</t>
  </si>
  <si>
    <t>Acb, Wudil Along Gaya Road Opposite Police Station. Wudil Kano</t>
  </si>
  <si>
    <t>ISE-EKITI BRANCH</t>
  </si>
  <si>
    <t>Town Central, Ise-Emure Road Ise Ekiti</t>
  </si>
  <si>
    <t>IGWURUTA BRANCH</t>
  </si>
  <si>
    <t>Ompadec Bus-Stop, Along Airport Road, Igwuruta, Ikwerre Lga, Rivers State </t>
  </si>
  <si>
    <t>BAUCHI 2 BRANCH</t>
  </si>
  <si>
    <t>No 2 Ilelah Street Off Emir Drive, Bauchi </t>
  </si>
  <si>
    <t>AZARE BRANCH</t>
  </si>
  <si>
    <t>Ja'Mare Road,Azare, Bauchi State</t>
  </si>
  <si>
    <t>TAURA BRANCH</t>
  </si>
  <si>
    <t>Access Bank, Beside Taura Police Station, Taura Local Govt, Jigawa State.</t>
  </si>
  <si>
    <t>BIRNIN KUDU BRANCH</t>
  </si>
  <si>
    <t>Access Bank Plc, Gra Quarters B/Kudu Along Kano Road, Jigawa State</t>
  </si>
  <si>
    <t>ARGUNGUN BRANCH</t>
  </si>
  <si>
    <t>Opposite Tafida House, Audu Bako Road, Argungun</t>
  </si>
  <si>
    <t>KAMBA BRANCH</t>
  </si>
  <si>
    <t>Opposite Police Station, Gaya Road, Gidan Kwano Kamba</t>
  </si>
  <si>
    <t>KABBA BRANCH</t>
  </si>
  <si>
    <t>Along Kabba-Ayetoro Road, Kabba/Bunu Local Govt Area</t>
  </si>
  <si>
    <t>SABONGIDA ORA</t>
  </si>
  <si>
    <t>Sabongida Ora, Opposite The Lg Secretariat Sabongida Ora, Owan West Lga, Edo State</t>
  </si>
  <si>
    <t>ORLU BRANCH</t>
  </si>
  <si>
    <t>2, Asika Ilobi Avenue, Orlu, Imo State.</t>
  </si>
  <si>
    <t>1.5HP AIR-CONDITIONERS - Split</t>
  </si>
  <si>
    <t>2HP AIR-CONDITIONERS - Split</t>
  </si>
  <si>
    <t>3HP AIR-CONDITIONERS - Floor Standing</t>
  </si>
  <si>
    <t>5HP AIR-CONDITIONERS - Floor Standing</t>
  </si>
  <si>
    <t>3HP AIR-CONDITIONERS - Cassatte</t>
  </si>
  <si>
    <t>5HP AIR-CONDITIONERS - Cassatte</t>
  </si>
  <si>
    <t>Access Bank</t>
  </si>
  <si>
    <t>9 hours</t>
  </si>
  <si>
    <t>3 ,023</t>
  </si>
  <si>
    <t>mikano</t>
  </si>
  <si>
    <t>diesel</t>
  </si>
  <si>
    <t>February</t>
  </si>
  <si>
    <t>March</t>
  </si>
  <si>
    <t>April</t>
  </si>
  <si>
    <t>May</t>
  </si>
  <si>
    <t>June</t>
  </si>
  <si>
    <t>January</t>
  </si>
  <si>
    <t>panasonic</t>
  </si>
  <si>
    <t>as09t</t>
  </si>
  <si>
    <t>hp desktop</t>
  </si>
  <si>
    <t>hp and dell</t>
  </si>
  <si>
    <t>glor</t>
  </si>
  <si>
    <t>hyosun</t>
  </si>
  <si>
    <t>lg tv</t>
  </si>
  <si>
    <t>akt</t>
  </si>
  <si>
    <t>rakers</t>
  </si>
  <si>
    <t>pisker</t>
  </si>
  <si>
    <t>brany</t>
  </si>
  <si>
    <t xml:space="preserve">10, kano road, sokoto </t>
  </si>
  <si>
    <t>Obiora Mabuzule</t>
  </si>
  <si>
    <t>13.042627º &amp; 5.233446º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</si>
</sst>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7">
    <numFmt numFmtId="164" formatCode="#,##0\ &quot; m²&quot;"/>
    <numFmt numFmtId="165" formatCode="[$-409]mmm\-yy;@"/>
    <numFmt numFmtId="166" formatCode="#,##0\ &quot; Ltrs&quot;"/>
    <numFmt numFmtId="167" formatCode="&quot;₦&quot;\ #,##0\ &quot; /Ltrs&quot;"/>
    <numFmt numFmtId="168" formatCode="&quot;₦&quot;\ #,##0"/>
    <numFmt numFmtId="169" formatCode="#,##0.0\ &quot; Ltrs&quot;"/>
    <numFmt numFmtId="170" formatCode="#,##0\ &quot; kWh&quot;"/>
    <numFmt numFmtId="171" formatCode="&quot;₦&quot;\ #,##0\ &quot; /kWh&quot;"/>
    <numFmt numFmtId="172" formatCode="&quot;₦&quot;\ #,##0.00"/>
    <numFmt numFmtId="173" formatCode="#,##0.0\ &quot; kWh&quot;"/>
    <numFmt numFmtId="174" formatCode="&quot;₦&quot;\ #,##0.0\ &quot; /kWh&quot;"/>
    <numFmt numFmtId="175" formatCode="#,##0\ &quot; V&quot;"/>
    <numFmt numFmtId="176" formatCode="#,##0\ &quot; A&quot;"/>
    <numFmt numFmtId="177" formatCode="#,##0.00\ &quot; kVA&quot;"/>
    <numFmt numFmtId="178" formatCode="#,##0.00\ &quot; kW&quot;"/>
    <numFmt numFmtId="179" formatCode="#,##0\ &quot; units&quot;"/>
    <numFmt numFmtId="180" formatCode="#,##0\ &quot; W&quot;"/>
  </numFmts>
  <fonts count="13">
    <font>
      <sz val="12"/>
      <name val="Calibri"/>
      <family val="2"/>
    </font>
    <font>
      <sz val="12"/>
      <color theme="0"/>
      <name val="Calibri"/>
      <family val="2"/>
    </font>
    <font>
      <i/>
      <sz val="10"/>
      <name val="Abadi"/>
      <family val="2"/>
    </font>
    <font>
      <sz val="12"/>
      <name val="Impact"/>
      <family val="2"/>
    </font>
    <font>
      <sz val="9"/>
      <name val="Century Gothic"/>
      <family val="2"/>
    </font>
    <font>
      <sz val="9"/>
      <color theme="0"/>
      <name val="Century Gothic"/>
      <family val="2"/>
    </font>
    <font>
      <sz val="8"/>
      <name val="Century Gothic"/>
      <family val="2"/>
    </font>
    <font>
      <b/>
      <sz val="9"/>
      <name val="Century Gothic"/>
      <family val="2"/>
    </font>
    <font>
      <sz val="11"/>
      <name val="Abadi"/>
      <family val="2"/>
    </font>
    <font>
      <b/>
      <sz val="8"/>
      <name val="Century Gothic"/>
      <family val="2"/>
    </font>
    <font>
      <sz val="10"/>
      <color rgb="FFFFFF00"/>
      <name val="Impact"/>
      <family val="2"/>
    </font>
    <font>
      <sz val="9"/>
      <name val="Abadi Extra Light"/>
      <family val="2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8" tint="0.59999389629810485"/>
        <bgColor indexed="64"/>
      </patternFill>
    </fill>
  </fills>
  <borders count="8">
    <border>
      <left/>
      <right/>
      <top/>
      <bottom/>
      <diagonal/>
    </border>
    <border>
      <left style="thick">
        <color theme="0"/>
      </left>
      <right/>
      <top style="thick">
        <color theme="0"/>
      </top>
      <bottom style="thick">
        <color theme="0"/>
      </bottom>
      <diagonal/>
    </border>
    <border>
      <left/>
      <right/>
      <top style="thick">
        <color theme="0"/>
      </top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 style="thick">
        <color theme="0"/>
      </bottom>
      <diagonal/>
    </border>
    <border>
      <left style="thick">
        <color theme="0"/>
      </left>
      <right style="thick">
        <color theme="0"/>
      </right>
      <top style="thick">
        <color theme="0"/>
      </top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thick">
        <color theme="0"/>
      </top>
      <bottom/>
      <diagonal/>
    </border>
  </borders>
  <cellStyleXfs count="1">
    <xf numFmtId="0" fontId="0" fillId="0" borderId="0">
      <alignment vertical="center"/>
    </xf>
  </cellStyleXfs>
  <cellXfs count="81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1" fillId="0" borderId="0" xfId="0" applyFont="1">
      <alignment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0" fontId="4" fillId="0" borderId="4" xfId="0" applyFont="1" applyBorder="1">
      <alignment vertical="center"/>
    </xf>
    <xf numFmtId="0" fontId="4" fillId="0" borderId="4" xfId="0" quotePrefix="1" applyFont="1" applyBorder="1">
      <alignment vertical="center"/>
    </xf>
    <xf numFmtId="0" fontId="4" fillId="0" borderId="1" xfId="0" applyFont="1" applyBorder="1">
      <alignment vertical="center"/>
    </xf>
    <xf numFmtId="0" fontId="4" fillId="2" borderId="3" xfId="0" applyFont="1" applyFill="1" applyBorder="1">
      <alignment vertical="center"/>
    </xf>
    <xf numFmtId="0" fontId="4" fillId="2" borderId="4" xfId="0" applyFont="1" applyFill="1" applyBorder="1" applyAlignment="1" applyProtection="1">
      <alignment horizontal="center" vertical="center"/>
      <protection locked="0"/>
    </xf>
    <xf numFmtId="0" fontId="4" fillId="2" borderId="4" xfId="0" applyFont="1" applyFill="1" applyBorder="1">
      <alignment vertical="center"/>
    </xf>
    <xf numFmtId="169" fontId="7" fillId="2" borderId="4" xfId="0" applyNumberFormat="1" applyFont="1" applyFill="1" applyBorder="1" applyProtection="1">
      <alignment vertical="center"/>
      <protection hidden="1"/>
    </xf>
    <xf numFmtId="167" fontId="7" fillId="2" borderId="4" xfId="0" applyNumberFormat="1" applyFont="1" applyFill="1" applyBorder="1" applyProtection="1">
      <alignment vertical="center"/>
      <protection hidden="1"/>
    </xf>
    <xf numFmtId="0" fontId="6" fillId="0" borderId="0" xfId="0" applyFont="1">
      <alignment vertical="center"/>
    </xf>
    <xf numFmtId="172" fontId="6" fillId="2" borderId="4" xfId="0" applyNumberFormat="1" applyFont="1" applyFill="1" applyBorder="1" applyProtection="1">
      <alignment vertical="center"/>
      <protection hidden="1"/>
    </xf>
    <xf numFmtId="0" fontId="8" fillId="0" borderId="0" xfId="0" applyFont="1">
      <alignment vertical="center"/>
    </xf>
    <xf numFmtId="173" fontId="9" fillId="2" borderId="4" xfId="0" applyNumberFormat="1" applyFont="1" applyFill="1" applyBorder="1" applyProtection="1">
      <alignment vertical="center"/>
      <protection hidden="1"/>
    </xf>
    <xf numFmtId="174" fontId="9" fillId="2" borderId="4" xfId="0" applyNumberFormat="1" applyFont="1" applyFill="1" applyBorder="1" applyProtection="1">
      <alignment vertical="center"/>
      <protection hidden="1"/>
    </xf>
    <xf numFmtId="172" fontId="9" fillId="2" borderId="4" xfId="0" applyNumberFormat="1" applyFont="1" applyFill="1" applyBorder="1" applyProtection="1">
      <alignment vertical="center"/>
      <protection hidden="1"/>
    </xf>
    <xf numFmtId="0" fontId="0" fillId="0" borderId="6" xfId="0" applyBorder="1">
      <alignment vertical="center"/>
    </xf>
    <xf numFmtId="177" fontId="4" fillId="2" borderId="4" xfId="0" applyNumberFormat="1" applyFont="1" applyFill="1" applyBorder="1" applyProtection="1">
      <alignment vertical="center"/>
      <protection hidden="1"/>
    </xf>
    <xf numFmtId="177" fontId="7" fillId="2" borderId="4" xfId="0" applyNumberFormat="1" applyFont="1" applyFill="1" applyBorder="1" applyProtection="1">
      <alignment vertical="center"/>
      <protection hidden="1"/>
    </xf>
    <xf numFmtId="178" fontId="7" fillId="2" borderId="4" xfId="0" applyNumberFormat="1" applyFont="1" applyFill="1" applyBorder="1" applyProtection="1">
      <alignment vertical="center"/>
      <protection hidden="1"/>
    </xf>
    <xf numFmtId="0" fontId="4" fillId="0" borderId="4" xfId="0" applyFont="1" applyBorder="1" applyAlignment="1" applyProtection="1">
      <alignment horizontal="right" vertical="center"/>
      <protection hidden="1"/>
    </xf>
    <xf numFmtId="178" fontId="4" fillId="2" borderId="4" xfId="0" applyNumberFormat="1" applyFont="1" applyFill="1" applyBorder="1" applyAlignment="1" applyProtection="1">
      <alignment horizontal="right" vertical="center"/>
      <protection hidden="1"/>
    </xf>
    <xf numFmtId="0" fontId="4" fillId="0" borderId="0" xfId="0" applyFont="1" applyAlignment="1">
      <alignment horizontal="right" vertical="center"/>
    </xf>
    <xf numFmtId="178" fontId="10" fillId="3" borderId="0" xfId="0" applyNumberFormat="1" applyFont="1" applyFill="1" applyAlignment="1" applyProtection="1">
      <alignment horizontal="right" vertical="center"/>
      <protection hidden="1"/>
    </xf>
    <xf numFmtId="0" fontId="11" fillId="0" borderId="0" xfId="0" applyFont="1" applyAlignment="1">
      <alignment horizontal="center" vertical="center"/>
    </xf>
    <xf numFmtId="0" fontId="11" fillId="0" borderId="0" xfId="0" applyFont="1">
      <alignment vertical="center"/>
    </xf>
    <xf numFmtId="175" fontId="4" fillId="2" borderId="4" xfId="0" applyNumberFormat="1" applyFont="1" applyFill="1" applyBorder="1" applyAlignment="1" applyProtection="1">
      <alignment horizontal="center" vertical="center"/>
      <protection locked="0"/>
    </xf>
    <xf numFmtId="176" fontId="4" fillId="2" borderId="4" xfId="0" applyNumberFormat="1" applyFont="1" applyFill="1" applyBorder="1" applyAlignment="1" applyProtection="1">
      <alignment horizontal="center" vertical="center"/>
      <protection locked="0"/>
    </xf>
    <xf numFmtId="1" fontId="4" fillId="4" borderId="2" xfId="0" applyNumberFormat="1" applyFont="1" applyFill="1" applyBorder="1" applyAlignment="1" applyProtection="1">
      <alignment horizontal="center" vertical="center"/>
      <protection locked="0"/>
    </xf>
    <xf numFmtId="164" fontId="4" fillId="4" borderId="4" xfId="0" applyNumberFormat="1" applyFont="1" applyFill="1" applyBorder="1" applyAlignment="1" applyProtection="1">
      <alignment horizontal="center" vertical="center"/>
      <protection locked="0"/>
    </xf>
    <xf numFmtId="0" fontId="4" fillId="4" borderId="4" xfId="0" applyFont="1" applyFill="1" applyBorder="1" applyAlignment="1" applyProtection="1">
      <alignment horizontal="center" vertical="center"/>
      <protection locked="0"/>
    </xf>
    <xf numFmtId="0" fontId="4" fillId="4" borderId="4" xfId="0" applyFont="1" applyFill="1" applyBorder="1" applyProtection="1">
      <alignment vertical="center"/>
      <protection locked="0"/>
    </xf>
    <xf numFmtId="165" fontId="4" fillId="4" borderId="4" xfId="0" applyNumberFormat="1" applyFont="1" applyFill="1" applyBorder="1" applyAlignment="1" applyProtection="1">
      <alignment horizontal="center" vertical="center"/>
      <protection locked="0"/>
    </xf>
    <xf numFmtId="166" fontId="4" fillId="4" borderId="4" xfId="0" applyNumberFormat="1" applyFont="1" applyFill="1" applyBorder="1" applyAlignment="1" applyProtection="1">
      <alignment horizontal="right" vertical="center"/>
      <protection locked="0"/>
    </xf>
    <xf numFmtId="167" fontId="4" fillId="4" borderId="4" xfId="0" applyNumberFormat="1" applyFont="1" applyFill="1" applyBorder="1" applyProtection="1">
      <alignment vertical="center"/>
      <protection locked="0"/>
    </xf>
    <xf numFmtId="170" fontId="6" fillId="4" borderId="4" xfId="0" applyNumberFormat="1" applyFont="1" applyFill="1" applyBorder="1" applyProtection="1">
      <alignment vertical="center"/>
      <protection locked="0"/>
    </xf>
    <xf numFmtId="171" fontId="6" fillId="4" borderId="4" xfId="0" applyNumberFormat="1" applyFont="1" applyFill="1" applyBorder="1" applyProtection="1">
      <alignment vertical="center"/>
      <protection locked="0"/>
    </xf>
    <xf numFmtId="175" fontId="4" fillId="4" borderId="4" xfId="0" applyNumberFormat="1" applyFont="1" applyFill="1" applyBorder="1" applyAlignment="1" applyProtection="1">
      <alignment horizontal="center" vertical="center"/>
      <protection locked="0"/>
    </xf>
    <xf numFmtId="176" fontId="4" fillId="4" borderId="4" xfId="0" applyNumberFormat="1" applyFont="1" applyFill="1" applyBorder="1" applyAlignment="1" applyProtection="1">
      <alignment horizontal="center" vertical="center"/>
      <protection locked="0"/>
    </xf>
    <xf numFmtId="179" fontId="4" fillId="4" borderId="4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Fill="1" applyAlignment="1">
      <alignment vertical="center"/>
    </xf>
    <xf numFmtId="0" fontId="6" fillId="4" borderId="4" xfId="0" applyFont="1" applyFill="1" applyBorder="1" applyAlignment="1" applyProtection="1">
      <alignment horizontal="center" vertical="center"/>
      <protection locked="0"/>
    </xf>
    <xf numFmtId="0" fontId="12" fillId="0" borderId="0" xfId="0" applyFont="1">
      <alignment vertical="center"/>
    </xf>
    <xf numFmtId="0" fontId="4" fillId="2" borderId="1" xfId="0" applyFont="1" applyFill="1" applyBorder="1" applyAlignment="1">
      <alignment vertical="center"/>
    </xf>
    <xf numFmtId="0" fontId="4" fillId="2" borderId="2" xfId="0" applyFont="1" applyFill="1" applyBorder="1" applyAlignment="1">
      <alignment vertical="center"/>
    </xf>
    <xf numFmtId="0" fontId="4" fillId="2" borderId="3" xfId="0" applyFont="1" applyFill="1" applyBorder="1" applyAlignment="1">
      <alignment vertical="center"/>
    </xf>
    <xf numFmtId="0" fontId="4" fillId="2" borderId="1" xfId="0" applyFont="1" applyFill="1" applyBorder="1" applyAlignment="1">
      <alignment horizontal="left" vertical="center" indent="1"/>
    </xf>
    <xf numFmtId="0" fontId="4" fillId="2" borderId="2" xfId="0" applyFont="1" applyFill="1" applyBorder="1" applyAlignment="1">
      <alignment horizontal="left" vertical="center" indent="1"/>
    </xf>
    <xf numFmtId="0" fontId="4" fillId="2" borderId="3" xfId="0" applyFont="1" applyFill="1" applyBorder="1" applyAlignment="1">
      <alignment horizontal="left" vertical="center" indent="1"/>
    </xf>
    <xf numFmtId="0" fontId="0" fillId="0" borderId="0" xfId="0" applyFill="1" applyAlignment="1">
      <alignment horizontal="center" vertical="center"/>
    </xf>
    <xf numFmtId="180" fontId="4" fillId="2" borderId="1" xfId="0" applyNumberFormat="1" applyFont="1" applyFill="1" applyBorder="1" applyAlignment="1" applyProtection="1">
      <alignment horizontal="right" vertical="center"/>
      <protection hidden="1"/>
    </xf>
    <xf numFmtId="180" fontId="4" fillId="2" borderId="3" xfId="0" applyNumberFormat="1" applyFont="1" applyFill="1" applyBorder="1" applyAlignment="1" applyProtection="1">
      <alignment horizontal="right" vertical="center"/>
      <protection hidden="1"/>
    </xf>
    <xf numFmtId="0" fontId="4" fillId="4" borderId="4" xfId="0" applyFont="1" applyFill="1" applyBorder="1" applyAlignment="1" applyProtection="1">
      <alignment horizontal="left" vertical="center"/>
      <protection locked="0"/>
    </xf>
    <xf numFmtId="0" fontId="4" fillId="4" borderId="1" xfId="0" applyFont="1" applyFill="1" applyBorder="1" applyAlignment="1" applyProtection="1">
      <alignment horizontal="center" vertical="center"/>
      <protection locked="0"/>
    </xf>
    <xf numFmtId="0" fontId="4" fillId="4" borderId="2" xfId="0" applyFont="1" applyFill="1" applyBorder="1" applyAlignment="1" applyProtection="1">
      <alignment horizontal="center" vertical="center"/>
      <protection locked="0"/>
    </xf>
    <xf numFmtId="0" fontId="4" fillId="4" borderId="3" xfId="0" applyFont="1" applyFill="1" applyBorder="1" applyAlignment="1" applyProtection="1">
      <alignment horizontal="center" vertical="center"/>
      <protection locked="0"/>
    </xf>
    <xf numFmtId="0" fontId="4" fillId="4" borderId="1" xfId="0" applyFont="1" applyFill="1" applyBorder="1" applyAlignment="1" applyProtection="1">
      <alignment horizontal="left" vertical="center"/>
      <protection locked="0"/>
    </xf>
    <xf numFmtId="0" fontId="4" fillId="4" borderId="2" xfId="0" applyFont="1" applyFill="1" applyBorder="1" applyAlignment="1" applyProtection="1">
      <alignment horizontal="left" vertical="center"/>
      <protection locked="0"/>
    </xf>
    <xf numFmtId="0" fontId="4" fillId="4" borderId="3" xfId="0" applyFont="1" applyFill="1" applyBorder="1" applyAlignment="1" applyProtection="1">
      <alignment horizontal="left" vertical="center"/>
      <protection locked="0"/>
    </xf>
    <xf numFmtId="0" fontId="4" fillId="4" borderId="0" xfId="0" applyFont="1" applyFill="1" applyAlignment="1" applyProtection="1">
      <alignment horizontal="left" vertical="center"/>
      <protection locked="0"/>
    </xf>
    <xf numFmtId="168" fontId="6" fillId="2" borderId="1" xfId="0" applyNumberFormat="1" applyFont="1" applyFill="1" applyBorder="1" applyAlignment="1" applyProtection="1">
      <alignment horizontal="right" vertical="center"/>
      <protection hidden="1"/>
    </xf>
    <xf numFmtId="168" fontId="6" fillId="2" borderId="3" xfId="0" applyNumberFormat="1" applyFont="1" applyFill="1" applyBorder="1" applyAlignment="1" applyProtection="1">
      <alignment horizontal="right" vertical="center"/>
      <protection hidden="1"/>
    </xf>
    <xf numFmtId="0" fontId="2" fillId="0" borderId="0" xfId="0" applyFont="1" applyAlignment="1">
      <alignment horizontal="right" vertical="center"/>
    </xf>
    <xf numFmtId="0" fontId="3" fillId="2" borderId="0" xfId="0" applyFont="1" applyFill="1" applyAlignment="1" applyProtection="1">
      <alignment horizontal="center" vertical="center"/>
      <protection locked="0"/>
    </xf>
    <xf numFmtId="0" fontId="4" fillId="4" borderId="4" xfId="0" applyFont="1" applyFill="1" applyBorder="1" applyAlignment="1" applyProtection="1">
      <alignment horizontal="left" vertical="center"/>
      <protection hidden="1"/>
    </xf>
    <xf numFmtId="172" fontId="4" fillId="4" borderId="1" xfId="0" applyNumberFormat="1" applyFont="1" applyFill="1" applyBorder="1" applyProtection="1">
      <alignment vertical="center"/>
      <protection locked="0"/>
    </xf>
    <xf numFmtId="172" fontId="4" fillId="4" borderId="3" xfId="0" applyNumberFormat="1" applyFont="1" applyFill="1" applyBorder="1" applyProtection="1">
      <alignment vertical="center"/>
      <protection locked="0"/>
    </xf>
    <xf numFmtId="172" fontId="4" fillId="2" borderId="1" xfId="0" applyNumberFormat="1" applyFont="1" applyFill="1" applyBorder="1" applyProtection="1">
      <alignment vertical="center"/>
      <protection hidden="1"/>
    </xf>
    <xf numFmtId="172" fontId="4" fillId="2" borderId="3" xfId="0" applyNumberFormat="1" applyFont="1" applyFill="1" applyBorder="1" applyProtection="1">
      <alignment vertical="center"/>
      <protection hidden="1"/>
    </xf>
    <xf numFmtId="168" fontId="7" fillId="2" borderId="0" xfId="0" applyNumberFormat="1" applyFont="1" applyFill="1" applyAlignment="1" applyProtection="1">
      <alignment horizontal="right" vertical="center"/>
      <protection hidden="1"/>
    </xf>
    <xf numFmtId="168" fontId="7" fillId="2" borderId="5" xfId="0" applyNumberFormat="1" applyFont="1" applyFill="1" applyBorder="1" applyAlignment="1" applyProtection="1">
      <alignment horizontal="right" vertical="center"/>
      <protection hidden="1"/>
    </xf>
    <xf numFmtId="0" fontId="4" fillId="4" borderId="1" xfId="0" applyFont="1" applyFill="1" applyBorder="1" applyAlignment="1" applyProtection="1">
      <alignment horizontal="left" vertical="center" indent="1"/>
      <protection locked="0"/>
    </xf>
    <xf numFmtId="0" fontId="4" fillId="4" borderId="2" xfId="0" applyFont="1" applyFill="1" applyBorder="1" applyAlignment="1" applyProtection="1">
      <alignment horizontal="left" vertical="center" indent="1"/>
      <protection locked="0"/>
    </xf>
    <xf numFmtId="0" fontId="4" fillId="4" borderId="3" xfId="0" applyFont="1" applyFill="1" applyBorder="1" applyAlignment="1" applyProtection="1">
      <alignment horizontal="left" vertical="center" indent="1"/>
      <protection locked="0"/>
    </xf>
    <xf numFmtId="180" fontId="4" fillId="4" borderId="4" xfId="0" applyNumberFormat="1" applyFont="1" applyFill="1" applyBorder="1" applyAlignment="1" applyProtection="1">
      <alignment horizontal="right" vertical="center"/>
      <protection locked="0"/>
    </xf>
    <xf numFmtId="0" fontId="4" fillId="0" borderId="0" xfId="0" applyFont="1" applyAlignment="1">
      <alignment horizontal="left" vertical="center"/>
    </xf>
    <xf numFmtId="0" fontId="7" fillId="0" borderId="7" xfId="0" applyFont="1" applyBorder="1" applyAlignment="1">
      <alignment horizontal="right" vertical="center"/>
    </xf>
    <xf numFmtId="14" fontId="4" fillId="4" borderId="4" xfId="0" applyNumberFormat="1" applyFont="1" applyFill="1" applyBorder="1" applyProtection="1">
      <alignment vertical="center"/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120650</xdr:colOff>
      <xdr:row>10</xdr:row>
      <xdr:rowOff>12700</xdr:rowOff>
    </xdr:from>
    <xdr:to>
      <xdr:col>8</xdr:col>
      <xdr:colOff>108650</xdr:colOff>
      <xdr:row>10</xdr:row>
      <xdr:rowOff>196850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125A3346-12CD-4E16-A914-EC5ED71ACA1B}"/>
            </a:ext>
          </a:extLst>
        </xdr:cNvPr>
        <xdr:cNvSpPr txBox="1"/>
      </xdr:nvSpPr>
      <xdr:spPr>
        <a:xfrm>
          <a:off x="3594100" y="2025650"/>
          <a:ext cx="1512000" cy="184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GB" sz="1050">
              <a:latin typeface="Abadi" panose="020B0604020104020204" pitchFamily="34" charset="0"/>
            </a:rPr>
            <a:t>Direction on Compass:</a:t>
          </a:r>
          <a:endParaRPr lang="en-NG" sz="1050">
            <a:latin typeface="Abadi" panose="020B0604020104020204" pitchFamily="34" charset="0"/>
          </a:endParaRPr>
        </a:p>
      </xdr:txBody>
    </xdr:sp>
    <xdr:clientData/>
  </xdr:twoCellAnchor>
  <xdr:twoCellAnchor>
    <xdr:from>
      <xdr:col>0</xdr:col>
      <xdr:colOff>0</xdr:colOff>
      <xdr:row>42</xdr:row>
      <xdr:rowOff>31750</xdr:rowOff>
    </xdr:from>
    <xdr:to>
      <xdr:col>12</xdr:col>
      <xdr:colOff>0</xdr:colOff>
      <xdr:row>42</xdr:row>
      <xdr:rowOff>184150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179DF5CE-374C-425C-9953-C2216A20D3FE}"/>
            </a:ext>
          </a:extLst>
        </xdr:cNvPr>
        <xdr:cNvSpPr/>
      </xdr:nvSpPr>
      <xdr:spPr>
        <a:xfrm>
          <a:off x="0" y="10052050"/>
          <a:ext cx="6731000" cy="152400"/>
        </a:xfrm>
        <a:prstGeom prst="rect">
          <a:avLst/>
        </a:prstGeom>
        <a:solidFill>
          <a:srgbClr val="00206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G" sz="1100"/>
        </a:p>
      </xdr:txBody>
    </xdr:sp>
    <xdr:clientData/>
  </xdr:twoCellAnchor>
  <xdr:twoCellAnchor>
    <xdr:from>
      <xdr:col>5</xdr:col>
      <xdr:colOff>409968</xdr:colOff>
      <xdr:row>3</xdr:row>
      <xdr:rowOff>107950</xdr:rowOff>
    </xdr:from>
    <xdr:to>
      <xdr:col>12</xdr:col>
      <xdr:colOff>0</xdr:colOff>
      <xdr:row>5</xdr:row>
      <xdr:rowOff>38100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FCA75646-8458-480F-8619-3031DC09FFD6}"/>
            </a:ext>
          </a:extLst>
        </xdr:cNvPr>
        <xdr:cNvSpPr txBox="1"/>
      </xdr:nvSpPr>
      <xdr:spPr>
        <a:xfrm>
          <a:off x="3965968" y="698500"/>
          <a:ext cx="2847582" cy="3238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2000">
              <a:latin typeface="Abadi" panose="020B0604020104020204" pitchFamily="34" charset="0"/>
            </a:rPr>
            <a:t>ENERGY AUDIT FORM</a:t>
          </a:r>
          <a:endParaRPr lang="en-NG" sz="2000">
            <a:latin typeface="Abadi" panose="020B0604020104020204" pitchFamily="34" charset="0"/>
          </a:endParaRPr>
        </a:p>
      </xdr:txBody>
    </xdr:sp>
    <xdr:clientData/>
  </xdr:twoCellAnchor>
  <xdr:twoCellAnchor>
    <xdr:from>
      <xdr:col>0</xdr:col>
      <xdr:colOff>1</xdr:colOff>
      <xdr:row>0</xdr:row>
      <xdr:rowOff>63500</xdr:rowOff>
    </xdr:from>
    <xdr:to>
      <xdr:col>1</xdr:col>
      <xdr:colOff>472440</xdr:colOff>
      <xdr:row>2</xdr:row>
      <xdr:rowOff>106680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72F0DED1-FCFB-4A03-8C42-6B59D44BEED9}"/>
            </a:ext>
          </a:extLst>
        </xdr:cNvPr>
        <xdr:cNvSpPr/>
      </xdr:nvSpPr>
      <xdr:spPr>
        <a:xfrm>
          <a:off x="1" y="63500"/>
          <a:ext cx="1135379" cy="431800"/>
        </a:xfrm>
        <a:prstGeom prst="rect">
          <a:avLst/>
        </a:prstGeom>
        <a:blipFill dpi="0" rotWithShape="1"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G" sz="1100"/>
        </a:p>
      </xdr:txBody>
    </xdr:sp>
    <xdr:clientData/>
  </xdr:twoCellAnchor>
  <xdr:twoCellAnchor>
    <xdr:from>
      <xdr:col>0</xdr:col>
      <xdr:colOff>292100</xdr:colOff>
      <xdr:row>5</xdr:row>
      <xdr:rowOff>107950</xdr:rowOff>
    </xdr:from>
    <xdr:to>
      <xdr:col>12</xdr:col>
      <xdr:colOff>17850</xdr:colOff>
      <xdr:row>6</xdr:row>
      <xdr:rowOff>165100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BBE93483-8E18-4ED7-BDD5-6169F567886B}"/>
            </a:ext>
          </a:extLst>
        </xdr:cNvPr>
        <xdr:cNvSpPr/>
      </xdr:nvSpPr>
      <xdr:spPr>
        <a:xfrm>
          <a:off x="292100" y="1092200"/>
          <a:ext cx="6438900" cy="254000"/>
        </a:xfrm>
        <a:prstGeom prst="rect">
          <a:avLst/>
        </a:prstGeom>
        <a:solidFill>
          <a:srgbClr val="00206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G" sz="1100"/>
        </a:p>
      </xdr:txBody>
    </xdr:sp>
    <xdr:clientData/>
  </xdr:twoCellAnchor>
  <xdr:twoCellAnchor>
    <xdr:from>
      <xdr:col>0</xdr:col>
      <xdr:colOff>254000</xdr:colOff>
      <xdr:row>7</xdr:row>
      <xdr:rowOff>12700</xdr:rowOff>
    </xdr:from>
    <xdr:to>
      <xdr:col>1</xdr:col>
      <xdr:colOff>601600</xdr:colOff>
      <xdr:row>7</xdr:row>
      <xdr:rowOff>184150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2BF9D788-0A61-4993-A965-59A929E5A46D}"/>
            </a:ext>
          </a:extLst>
        </xdr:cNvPr>
        <xdr:cNvSpPr txBox="1"/>
      </xdr:nvSpPr>
      <xdr:spPr>
        <a:xfrm>
          <a:off x="254000" y="1397000"/>
          <a:ext cx="1008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GB" sz="1050">
              <a:latin typeface="Abadi" panose="020B0604020104020204" pitchFamily="34" charset="0"/>
            </a:rPr>
            <a:t>Branch Name:</a:t>
          </a:r>
          <a:endParaRPr lang="en-NG" sz="1050">
            <a:latin typeface="Abadi" panose="020B0604020104020204" pitchFamily="34" charset="0"/>
          </a:endParaRPr>
        </a:p>
      </xdr:txBody>
    </xdr:sp>
    <xdr:clientData/>
  </xdr:twoCellAnchor>
  <xdr:twoCellAnchor>
    <xdr:from>
      <xdr:col>0</xdr:col>
      <xdr:colOff>260350</xdr:colOff>
      <xdr:row>5</xdr:row>
      <xdr:rowOff>139700</xdr:rowOff>
    </xdr:from>
    <xdr:to>
      <xdr:col>2</xdr:col>
      <xdr:colOff>271550</xdr:colOff>
      <xdr:row>6</xdr:row>
      <xdr:rowOff>114300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0786AC24-0DA9-4616-AFB8-9690041F81BA}"/>
            </a:ext>
          </a:extLst>
        </xdr:cNvPr>
        <xdr:cNvSpPr txBox="1"/>
      </xdr:nvSpPr>
      <xdr:spPr>
        <a:xfrm>
          <a:off x="260350" y="1123950"/>
          <a:ext cx="1332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GB" sz="1050">
              <a:solidFill>
                <a:schemeClr val="bg1"/>
              </a:solidFill>
              <a:latin typeface="Berlin Sans FB Demi" panose="020E0802020502020306" pitchFamily="34" charset="0"/>
            </a:rPr>
            <a:t>FACILITY DETAILS</a:t>
          </a:r>
          <a:endParaRPr lang="en-NG" sz="1050">
            <a:solidFill>
              <a:schemeClr val="bg1"/>
            </a:solidFill>
            <a:latin typeface="Berlin Sans FB Demi" panose="020E0802020502020306" pitchFamily="34" charset="0"/>
          </a:endParaRPr>
        </a:p>
      </xdr:txBody>
    </xdr:sp>
    <xdr:clientData/>
  </xdr:twoCellAnchor>
  <xdr:twoCellAnchor>
    <xdr:from>
      <xdr:col>0</xdr:col>
      <xdr:colOff>247650</xdr:colOff>
      <xdr:row>8</xdr:row>
      <xdr:rowOff>25400</xdr:rowOff>
    </xdr:from>
    <xdr:to>
      <xdr:col>1</xdr:col>
      <xdr:colOff>595250</xdr:colOff>
      <xdr:row>9</xdr:row>
      <xdr:rowOff>0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0A29D2E3-D189-4A33-A805-987BD66D6D8F}"/>
            </a:ext>
          </a:extLst>
        </xdr:cNvPr>
        <xdr:cNvSpPr txBox="1"/>
      </xdr:nvSpPr>
      <xdr:spPr>
        <a:xfrm>
          <a:off x="247650" y="1619250"/>
          <a:ext cx="1008000" cy="184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GB" sz="1050">
              <a:latin typeface="Abadi" panose="020B0604020104020204" pitchFamily="34" charset="0"/>
            </a:rPr>
            <a:t>Address:</a:t>
          </a:r>
          <a:endParaRPr lang="en-NG" sz="1050">
            <a:latin typeface="Abadi" panose="020B0604020104020204" pitchFamily="34" charset="0"/>
          </a:endParaRPr>
        </a:p>
      </xdr:txBody>
    </xdr:sp>
    <xdr:clientData/>
  </xdr:twoCellAnchor>
  <xdr:twoCellAnchor>
    <xdr:from>
      <xdr:col>0</xdr:col>
      <xdr:colOff>241300</xdr:colOff>
      <xdr:row>10</xdr:row>
      <xdr:rowOff>12700</xdr:rowOff>
    </xdr:from>
    <xdr:to>
      <xdr:col>2</xdr:col>
      <xdr:colOff>36500</xdr:colOff>
      <xdr:row>10</xdr:row>
      <xdr:rowOff>196850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DE701BB9-D21F-4931-A665-4EC351146535}"/>
            </a:ext>
          </a:extLst>
        </xdr:cNvPr>
        <xdr:cNvSpPr txBox="1"/>
      </xdr:nvSpPr>
      <xdr:spPr>
        <a:xfrm>
          <a:off x="241300" y="2025650"/>
          <a:ext cx="1116000" cy="184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GB" sz="1050">
              <a:latin typeface="Abadi" panose="020B0604020104020204" pitchFamily="34" charset="0"/>
            </a:rPr>
            <a:t>GPS</a:t>
          </a:r>
          <a:r>
            <a:rPr lang="en-GB" sz="1050" baseline="0">
              <a:latin typeface="Abadi" panose="020B0604020104020204" pitchFamily="34" charset="0"/>
            </a:rPr>
            <a:t> Cordinates</a:t>
          </a:r>
          <a:r>
            <a:rPr lang="en-GB" sz="1050">
              <a:latin typeface="Abadi" panose="020B0604020104020204" pitchFamily="34" charset="0"/>
            </a:rPr>
            <a:t>:</a:t>
          </a:r>
          <a:endParaRPr lang="en-NG" sz="1050">
            <a:latin typeface="Abadi" panose="020B0604020104020204" pitchFamily="34" charset="0"/>
          </a:endParaRPr>
        </a:p>
      </xdr:txBody>
    </xdr:sp>
    <xdr:clientData/>
  </xdr:twoCellAnchor>
  <xdr:twoCellAnchor>
    <xdr:from>
      <xdr:col>0</xdr:col>
      <xdr:colOff>260350</xdr:colOff>
      <xdr:row>11</xdr:row>
      <xdr:rowOff>12700</xdr:rowOff>
    </xdr:from>
    <xdr:to>
      <xdr:col>2</xdr:col>
      <xdr:colOff>55550</xdr:colOff>
      <xdr:row>11</xdr:row>
      <xdr:rowOff>196850</xdr:rowOff>
    </xdr:to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9FA54FC8-B7EA-4F0B-B917-9EF36754192E}"/>
            </a:ext>
          </a:extLst>
        </xdr:cNvPr>
        <xdr:cNvSpPr txBox="1"/>
      </xdr:nvSpPr>
      <xdr:spPr>
        <a:xfrm>
          <a:off x="260350" y="2235200"/>
          <a:ext cx="1116000" cy="184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GB" sz="1050">
              <a:latin typeface="Abadi" panose="020B0604020104020204" pitchFamily="34" charset="0"/>
            </a:rPr>
            <a:t>Branch H.O.P:</a:t>
          </a:r>
          <a:endParaRPr lang="en-NG" sz="1050">
            <a:latin typeface="Abadi" panose="020B0604020104020204" pitchFamily="34" charset="0"/>
          </a:endParaRPr>
        </a:p>
      </xdr:txBody>
    </xdr:sp>
    <xdr:clientData/>
  </xdr:twoCellAnchor>
  <xdr:twoCellAnchor>
    <xdr:from>
      <xdr:col>6</xdr:col>
      <xdr:colOff>0</xdr:colOff>
      <xdr:row>11</xdr:row>
      <xdr:rowOff>12700</xdr:rowOff>
    </xdr:from>
    <xdr:to>
      <xdr:col>9</xdr:col>
      <xdr:colOff>24000</xdr:colOff>
      <xdr:row>11</xdr:row>
      <xdr:rowOff>196850</xdr:rowOff>
    </xdr:to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23BC8D90-5A73-4FCB-8630-2A9600E3E296}"/>
            </a:ext>
          </a:extLst>
        </xdr:cNvPr>
        <xdr:cNvSpPr txBox="1"/>
      </xdr:nvSpPr>
      <xdr:spPr>
        <a:xfrm>
          <a:off x="4133850" y="2235200"/>
          <a:ext cx="1548000" cy="184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n-GB" sz="1050">
              <a:latin typeface="Abadi" panose="020B0604020104020204" pitchFamily="34" charset="0"/>
            </a:rPr>
            <a:t>H.O.P's</a:t>
          </a:r>
          <a:r>
            <a:rPr lang="en-GB" sz="1050" baseline="0">
              <a:latin typeface="Abadi" panose="020B0604020104020204" pitchFamily="34" charset="0"/>
            </a:rPr>
            <a:t> Mobile </a:t>
          </a:r>
          <a:r>
            <a:rPr lang="en-GB" sz="1050">
              <a:latin typeface="Abadi" panose="020B0604020104020204" pitchFamily="34" charset="0"/>
            </a:rPr>
            <a:t>Number:</a:t>
          </a:r>
          <a:endParaRPr lang="en-NG" sz="1050">
            <a:latin typeface="Abadi" panose="020B0604020104020204" pitchFamily="34" charset="0"/>
          </a:endParaRPr>
        </a:p>
      </xdr:txBody>
    </xdr:sp>
    <xdr:clientData/>
  </xdr:twoCellAnchor>
  <xdr:twoCellAnchor>
    <xdr:from>
      <xdr:col>0</xdr:col>
      <xdr:colOff>234950</xdr:colOff>
      <xdr:row>9</xdr:row>
      <xdr:rowOff>25400</xdr:rowOff>
    </xdr:from>
    <xdr:to>
      <xdr:col>2</xdr:col>
      <xdr:colOff>102150</xdr:colOff>
      <xdr:row>10</xdr:row>
      <xdr:rowOff>0</xdr:rowOff>
    </xdr:to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8203FA48-CCF9-404A-BE04-12A09CAAE8E3}"/>
            </a:ext>
          </a:extLst>
        </xdr:cNvPr>
        <xdr:cNvSpPr txBox="1"/>
      </xdr:nvSpPr>
      <xdr:spPr>
        <a:xfrm>
          <a:off x="234950" y="1828800"/>
          <a:ext cx="1188000" cy="184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GB" sz="1050" baseline="0">
              <a:latin typeface="Abadi" panose="020B0604020104020204" pitchFamily="34" charset="0"/>
            </a:rPr>
            <a:t>Operation Hours</a:t>
          </a:r>
          <a:r>
            <a:rPr lang="en-GB" sz="1050">
              <a:latin typeface="Abadi" panose="020B0604020104020204" pitchFamily="34" charset="0"/>
            </a:rPr>
            <a:t>:</a:t>
          </a:r>
          <a:endParaRPr lang="en-NG" sz="1050">
            <a:latin typeface="Abadi" panose="020B0604020104020204" pitchFamily="34" charset="0"/>
          </a:endParaRPr>
        </a:p>
      </xdr:txBody>
    </xdr:sp>
    <xdr:clientData/>
  </xdr:twoCellAnchor>
  <xdr:twoCellAnchor>
    <xdr:from>
      <xdr:col>5</xdr:col>
      <xdr:colOff>190500</xdr:colOff>
      <xdr:row>9</xdr:row>
      <xdr:rowOff>38100</xdr:rowOff>
    </xdr:from>
    <xdr:to>
      <xdr:col>8</xdr:col>
      <xdr:colOff>70500</xdr:colOff>
      <xdr:row>9</xdr:row>
      <xdr:rowOff>203200</xdr:rowOff>
    </xdr:to>
    <xdr:sp macro="" textlink="">
      <xdr:nvSpPr>
        <xdr:cNvPr id="17" name="TextBox 16">
          <a:extLst>
            <a:ext uri="{FF2B5EF4-FFF2-40B4-BE49-F238E27FC236}">
              <a16:creationId xmlns:a16="http://schemas.microsoft.com/office/drawing/2014/main" id="{87DD3712-1612-44C9-BDD7-47723480590A}"/>
            </a:ext>
          </a:extLst>
        </xdr:cNvPr>
        <xdr:cNvSpPr txBox="1"/>
      </xdr:nvSpPr>
      <xdr:spPr>
        <a:xfrm>
          <a:off x="3663950" y="1841500"/>
          <a:ext cx="1404000" cy="165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GB" sz="1050">
              <a:latin typeface="Abadi" panose="020B0604020104020204" pitchFamily="34" charset="0"/>
            </a:rPr>
            <a:t>Weekend Operations:</a:t>
          </a:r>
          <a:endParaRPr lang="en-NG" sz="1050">
            <a:latin typeface="Abadi" panose="020B0604020104020204" pitchFamily="34" charset="0"/>
          </a:endParaRPr>
        </a:p>
      </xdr:txBody>
    </xdr:sp>
    <xdr:clientData/>
  </xdr:twoCellAnchor>
  <xdr:twoCellAnchor>
    <xdr:from>
      <xdr:col>6</xdr:col>
      <xdr:colOff>666750</xdr:colOff>
      <xdr:row>7</xdr:row>
      <xdr:rowOff>0</xdr:rowOff>
    </xdr:from>
    <xdr:to>
      <xdr:col>9</xdr:col>
      <xdr:colOff>114750</xdr:colOff>
      <xdr:row>7</xdr:row>
      <xdr:rowOff>190500</xdr:rowOff>
    </xdr:to>
    <xdr:sp macro="" textlink="">
      <xdr:nvSpPr>
        <xdr:cNvPr id="18" name="TextBox 17">
          <a:extLst>
            <a:ext uri="{FF2B5EF4-FFF2-40B4-BE49-F238E27FC236}">
              <a16:creationId xmlns:a16="http://schemas.microsoft.com/office/drawing/2014/main" id="{11B8C1F9-4A81-46BD-8CF4-88AA17D4A63F}"/>
            </a:ext>
          </a:extLst>
        </xdr:cNvPr>
        <xdr:cNvSpPr txBox="1"/>
      </xdr:nvSpPr>
      <xdr:spPr>
        <a:xfrm>
          <a:off x="4800600" y="1384300"/>
          <a:ext cx="972000" cy="190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GB" sz="1050">
              <a:latin typeface="Abadi" panose="020B0604020104020204" pitchFamily="34" charset="0"/>
            </a:rPr>
            <a:t>Branch Code:</a:t>
          </a:r>
          <a:endParaRPr lang="en-NG" sz="1050">
            <a:latin typeface="Abadi" panose="020B0604020104020204" pitchFamily="34" charset="0"/>
          </a:endParaRPr>
        </a:p>
      </xdr:txBody>
    </xdr:sp>
    <xdr:clientData/>
  </xdr:twoCellAnchor>
  <xdr:twoCellAnchor>
    <xdr:from>
      <xdr:col>0</xdr:col>
      <xdr:colOff>292100</xdr:colOff>
      <xdr:row>12</xdr:row>
      <xdr:rowOff>101600</xdr:rowOff>
    </xdr:from>
    <xdr:to>
      <xdr:col>2</xdr:col>
      <xdr:colOff>0</xdr:colOff>
      <xdr:row>14</xdr:row>
      <xdr:rowOff>88900</xdr:rowOff>
    </xdr:to>
    <xdr:sp macro="" textlink="">
      <xdr:nvSpPr>
        <xdr:cNvPr id="19" name="TextBox 18">
          <a:extLst>
            <a:ext uri="{FF2B5EF4-FFF2-40B4-BE49-F238E27FC236}">
              <a16:creationId xmlns:a16="http://schemas.microsoft.com/office/drawing/2014/main" id="{2A0B2E1D-EF8A-4141-8AC7-3DA99411F14C}"/>
            </a:ext>
          </a:extLst>
        </xdr:cNvPr>
        <xdr:cNvSpPr txBox="1"/>
      </xdr:nvSpPr>
      <xdr:spPr>
        <a:xfrm>
          <a:off x="292100" y="2533650"/>
          <a:ext cx="1028700" cy="406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r"/>
          <a:r>
            <a:rPr lang="en-GB" sz="1050">
              <a:latin typeface="Abadi" panose="020B0604020104020204" pitchFamily="34" charset="0"/>
            </a:rPr>
            <a:t>Total</a:t>
          </a:r>
          <a:r>
            <a:rPr lang="en-GB" sz="1050" baseline="0">
              <a:latin typeface="Abadi" panose="020B0604020104020204" pitchFamily="34" charset="0"/>
            </a:rPr>
            <a:t> Area of Facility</a:t>
          </a:r>
          <a:r>
            <a:rPr lang="en-GB" sz="1050">
              <a:latin typeface="Abadi" panose="020B0604020104020204" pitchFamily="34" charset="0"/>
            </a:rPr>
            <a:t>:</a:t>
          </a:r>
          <a:endParaRPr lang="en-NG" sz="1050">
            <a:latin typeface="Abadi" panose="020B0604020104020204" pitchFamily="34" charset="0"/>
          </a:endParaRPr>
        </a:p>
      </xdr:txBody>
    </xdr:sp>
    <xdr:clientData/>
  </xdr:twoCellAnchor>
  <xdr:twoCellAnchor>
    <xdr:from>
      <xdr:col>3</xdr:col>
      <xdr:colOff>88900</xdr:colOff>
      <xdr:row>12</xdr:row>
      <xdr:rowOff>76200</xdr:rowOff>
    </xdr:from>
    <xdr:to>
      <xdr:col>4</xdr:col>
      <xdr:colOff>50800</xdr:colOff>
      <xdr:row>14</xdr:row>
      <xdr:rowOff>139700</xdr:rowOff>
    </xdr:to>
    <xdr:sp macro="" textlink="">
      <xdr:nvSpPr>
        <xdr:cNvPr id="20" name="TextBox 19">
          <a:extLst>
            <a:ext uri="{FF2B5EF4-FFF2-40B4-BE49-F238E27FC236}">
              <a16:creationId xmlns:a16="http://schemas.microsoft.com/office/drawing/2014/main" id="{053461C8-ED2E-4717-AC40-3A50C8B7E42E}"/>
            </a:ext>
          </a:extLst>
        </xdr:cNvPr>
        <xdr:cNvSpPr txBox="1"/>
      </xdr:nvSpPr>
      <xdr:spPr>
        <a:xfrm>
          <a:off x="2146300" y="2508250"/>
          <a:ext cx="622300" cy="482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n-GB" sz="1050">
              <a:latin typeface="Abadi" panose="020B0604020104020204" pitchFamily="34" charset="0"/>
            </a:rPr>
            <a:t>Type of </a:t>
          </a:r>
          <a:r>
            <a:rPr lang="en-GB" sz="1050" baseline="0">
              <a:latin typeface="Abadi" panose="020B0604020104020204" pitchFamily="34" charset="0"/>
            </a:rPr>
            <a:t>Roof</a:t>
          </a:r>
          <a:r>
            <a:rPr lang="en-GB" sz="1050">
              <a:latin typeface="Abadi" panose="020B0604020104020204" pitchFamily="34" charset="0"/>
            </a:rPr>
            <a:t>:</a:t>
          </a:r>
          <a:endParaRPr lang="en-NG" sz="1050">
            <a:latin typeface="Abadi" panose="020B0604020104020204" pitchFamily="34" charset="0"/>
          </a:endParaRPr>
        </a:p>
      </xdr:txBody>
    </xdr:sp>
    <xdr:clientData/>
  </xdr:twoCellAnchor>
  <xdr:twoCellAnchor>
    <xdr:from>
      <xdr:col>0</xdr:col>
      <xdr:colOff>393700</xdr:colOff>
      <xdr:row>14</xdr:row>
      <xdr:rowOff>127000</xdr:rowOff>
    </xdr:from>
    <xdr:to>
      <xdr:col>1</xdr:col>
      <xdr:colOff>647700</xdr:colOff>
      <xdr:row>16</xdr:row>
      <xdr:rowOff>76200</xdr:rowOff>
    </xdr:to>
    <xdr:sp macro="" textlink="">
      <xdr:nvSpPr>
        <xdr:cNvPr id="21" name="TextBox 20">
          <a:extLst>
            <a:ext uri="{FF2B5EF4-FFF2-40B4-BE49-F238E27FC236}">
              <a16:creationId xmlns:a16="http://schemas.microsoft.com/office/drawing/2014/main" id="{D866AA86-827E-472C-8BCF-7FC2AA5C2EA2}"/>
            </a:ext>
          </a:extLst>
        </xdr:cNvPr>
        <xdr:cNvSpPr txBox="1"/>
      </xdr:nvSpPr>
      <xdr:spPr>
        <a:xfrm>
          <a:off x="393700" y="2978150"/>
          <a:ext cx="914400" cy="393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n-GB" sz="1050">
              <a:latin typeface="Abadi" panose="020B0604020104020204" pitchFamily="34" charset="0"/>
            </a:rPr>
            <a:t>Condition</a:t>
          </a:r>
          <a:r>
            <a:rPr lang="en-GB" sz="1050" baseline="0">
              <a:latin typeface="Abadi" panose="020B0604020104020204" pitchFamily="34" charset="0"/>
            </a:rPr>
            <a:t> of Roof</a:t>
          </a:r>
          <a:r>
            <a:rPr lang="en-GB" sz="1050">
              <a:latin typeface="Abadi" panose="020B0604020104020204" pitchFamily="34" charset="0"/>
            </a:rPr>
            <a:t>:</a:t>
          </a:r>
          <a:endParaRPr lang="en-NG" sz="1050">
            <a:latin typeface="Abadi" panose="020B0604020104020204" pitchFamily="34" charset="0"/>
          </a:endParaRPr>
        </a:p>
      </xdr:txBody>
    </xdr:sp>
    <xdr:clientData/>
  </xdr:twoCellAnchor>
  <xdr:twoCellAnchor>
    <xdr:from>
      <xdr:col>4</xdr:col>
      <xdr:colOff>558800</xdr:colOff>
      <xdr:row>12</xdr:row>
      <xdr:rowOff>107950</xdr:rowOff>
    </xdr:from>
    <xdr:to>
      <xdr:col>6</xdr:col>
      <xdr:colOff>57150</xdr:colOff>
      <xdr:row>14</xdr:row>
      <xdr:rowOff>101600</xdr:rowOff>
    </xdr:to>
    <xdr:sp macro="" textlink="">
      <xdr:nvSpPr>
        <xdr:cNvPr id="22" name="TextBox 21">
          <a:extLst>
            <a:ext uri="{FF2B5EF4-FFF2-40B4-BE49-F238E27FC236}">
              <a16:creationId xmlns:a16="http://schemas.microsoft.com/office/drawing/2014/main" id="{0B413518-6C2F-4F04-9623-00D86423AD22}"/>
            </a:ext>
          </a:extLst>
        </xdr:cNvPr>
        <xdr:cNvSpPr txBox="1"/>
      </xdr:nvSpPr>
      <xdr:spPr>
        <a:xfrm>
          <a:off x="3276600" y="2540000"/>
          <a:ext cx="914400" cy="4127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n-GB" sz="1050">
              <a:latin typeface="Abadi" panose="020B0604020104020204" pitchFamily="34" charset="0"/>
            </a:rPr>
            <a:t>Total Roof Area:</a:t>
          </a:r>
          <a:endParaRPr lang="en-NG" sz="1050">
            <a:latin typeface="Abadi" panose="020B0604020104020204" pitchFamily="34" charset="0"/>
          </a:endParaRPr>
        </a:p>
      </xdr:txBody>
    </xdr:sp>
    <xdr:clientData/>
  </xdr:twoCellAnchor>
  <xdr:twoCellAnchor>
    <xdr:from>
      <xdr:col>6</xdr:col>
      <xdr:colOff>635000</xdr:colOff>
      <xdr:row>12</xdr:row>
      <xdr:rowOff>63500</xdr:rowOff>
    </xdr:from>
    <xdr:to>
      <xdr:col>9</xdr:col>
      <xdr:colOff>50800</xdr:colOff>
      <xdr:row>14</xdr:row>
      <xdr:rowOff>127000</xdr:rowOff>
    </xdr:to>
    <xdr:sp macro="" textlink="">
      <xdr:nvSpPr>
        <xdr:cNvPr id="23" name="TextBox 22">
          <a:extLst>
            <a:ext uri="{FF2B5EF4-FFF2-40B4-BE49-F238E27FC236}">
              <a16:creationId xmlns:a16="http://schemas.microsoft.com/office/drawing/2014/main" id="{52D960A5-BB4F-4F6F-A285-DA2D2DCE43EE}"/>
            </a:ext>
          </a:extLst>
        </xdr:cNvPr>
        <xdr:cNvSpPr txBox="1"/>
      </xdr:nvSpPr>
      <xdr:spPr>
        <a:xfrm>
          <a:off x="4768850" y="2495550"/>
          <a:ext cx="939800" cy="482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n-GB" sz="1050">
              <a:latin typeface="Abadi" panose="020B0604020104020204" pitchFamily="34" charset="0"/>
            </a:rPr>
            <a:t>Total Usable Roof Area:</a:t>
          </a:r>
          <a:endParaRPr lang="en-NG" sz="1050">
            <a:latin typeface="Abadi" panose="020B0604020104020204" pitchFamily="34" charset="0"/>
          </a:endParaRPr>
        </a:p>
      </xdr:txBody>
    </xdr:sp>
    <xdr:clientData/>
  </xdr:twoCellAnchor>
  <xdr:twoCellAnchor>
    <xdr:from>
      <xdr:col>2</xdr:col>
      <xdr:colOff>723900</xdr:colOff>
      <xdr:row>14</xdr:row>
      <xdr:rowOff>69850</xdr:rowOff>
    </xdr:from>
    <xdr:to>
      <xdr:col>4</xdr:col>
      <xdr:colOff>44450</xdr:colOff>
      <xdr:row>16</xdr:row>
      <xdr:rowOff>120650</xdr:rowOff>
    </xdr:to>
    <xdr:sp macro="" textlink="">
      <xdr:nvSpPr>
        <xdr:cNvPr id="24" name="TextBox 23">
          <a:extLst>
            <a:ext uri="{FF2B5EF4-FFF2-40B4-BE49-F238E27FC236}">
              <a16:creationId xmlns:a16="http://schemas.microsoft.com/office/drawing/2014/main" id="{E240C6CA-EE4D-46D6-B1DD-8B26AE41562C}"/>
            </a:ext>
          </a:extLst>
        </xdr:cNvPr>
        <xdr:cNvSpPr txBox="1"/>
      </xdr:nvSpPr>
      <xdr:spPr>
        <a:xfrm>
          <a:off x="2044700" y="2921000"/>
          <a:ext cx="717550" cy="495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n-GB" sz="1050">
              <a:latin typeface="Abadi" panose="020B0604020104020204" pitchFamily="34" charset="0"/>
            </a:rPr>
            <a:t>Orietaion</a:t>
          </a:r>
        </a:p>
        <a:p>
          <a:pPr algn="r"/>
          <a:r>
            <a:rPr lang="en-GB" sz="1050">
              <a:latin typeface="Abadi" panose="020B0604020104020204" pitchFamily="34" charset="0"/>
            </a:rPr>
            <a:t>of </a:t>
          </a:r>
          <a:r>
            <a:rPr lang="en-GB" sz="1050" baseline="0">
              <a:latin typeface="Abadi" panose="020B0604020104020204" pitchFamily="34" charset="0"/>
            </a:rPr>
            <a:t>Roof</a:t>
          </a:r>
          <a:r>
            <a:rPr lang="en-GB" sz="1050">
              <a:latin typeface="Abadi" panose="020B0604020104020204" pitchFamily="34" charset="0"/>
            </a:rPr>
            <a:t>:</a:t>
          </a:r>
          <a:endParaRPr lang="en-NG" sz="1050">
            <a:latin typeface="Abadi" panose="020B0604020104020204" pitchFamily="34" charset="0"/>
          </a:endParaRPr>
        </a:p>
      </xdr:txBody>
    </xdr:sp>
    <xdr:clientData/>
  </xdr:twoCellAnchor>
  <xdr:twoCellAnchor>
    <xdr:from>
      <xdr:col>5</xdr:col>
      <xdr:colOff>31750</xdr:colOff>
      <xdr:row>14</xdr:row>
      <xdr:rowOff>114300</xdr:rowOff>
    </xdr:from>
    <xdr:to>
      <xdr:col>6</xdr:col>
      <xdr:colOff>63500</xdr:colOff>
      <xdr:row>16</xdr:row>
      <xdr:rowOff>76200</xdr:rowOff>
    </xdr:to>
    <xdr:sp macro="" textlink="">
      <xdr:nvSpPr>
        <xdr:cNvPr id="25" name="TextBox 24">
          <a:extLst>
            <a:ext uri="{FF2B5EF4-FFF2-40B4-BE49-F238E27FC236}">
              <a16:creationId xmlns:a16="http://schemas.microsoft.com/office/drawing/2014/main" id="{CE8B7713-998E-4CC7-A876-5A4F0B4C6217}"/>
            </a:ext>
          </a:extLst>
        </xdr:cNvPr>
        <xdr:cNvSpPr txBox="1"/>
      </xdr:nvSpPr>
      <xdr:spPr>
        <a:xfrm>
          <a:off x="3505200" y="2965450"/>
          <a:ext cx="692150" cy="406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n-GB" sz="1050">
              <a:latin typeface="Abadi" panose="020B0604020104020204" pitchFamily="34" charset="0"/>
            </a:rPr>
            <a:t>Type of Building:</a:t>
          </a:r>
          <a:endParaRPr lang="en-NG" sz="1050">
            <a:latin typeface="Abadi" panose="020B0604020104020204" pitchFamily="34" charset="0"/>
          </a:endParaRPr>
        </a:p>
      </xdr:txBody>
    </xdr:sp>
    <xdr:clientData/>
  </xdr:twoCellAnchor>
  <xdr:twoCellAnchor>
    <xdr:from>
      <xdr:col>6</xdr:col>
      <xdr:colOff>711200</xdr:colOff>
      <xdr:row>14</xdr:row>
      <xdr:rowOff>82550</xdr:rowOff>
    </xdr:from>
    <xdr:to>
      <xdr:col>9</xdr:col>
      <xdr:colOff>50800</xdr:colOff>
      <xdr:row>16</xdr:row>
      <xdr:rowOff>114300</xdr:rowOff>
    </xdr:to>
    <xdr:sp macro="" textlink="">
      <xdr:nvSpPr>
        <xdr:cNvPr id="26" name="TextBox 25">
          <a:extLst>
            <a:ext uri="{FF2B5EF4-FFF2-40B4-BE49-F238E27FC236}">
              <a16:creationId xmlns:a16="http://schemas.microsoft.com/office/drawing/2014/main" id="{2AFFBEBF-8071-45DF-BE34-D3F8755AA602}"/>
            </a:ext>
          </a:extLst>
        </xdr:cNvPr>
        <xdr:cNvSpPr txBox="1"/>
      </xdr:nvSpPr>
      <xdr:spPr>
        <a:xfrm>
          <a:off x="4845050" y="2933700"/>
          <a:ext cx="863600" cy="4762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n-GB" sz="1050">
              <a:latin typeface="Abadi" panose="020B0604020104020204" pitchFamily="34" charset="0"/>
            </a:rPr>
            <a:t>Open Area Available:</a:t>
          </a:r>
          <a:endParaRPr lang="en-NG" sz="1050">
            <a:latin typeface="Abadi" panose="020B0604020104020204" pitchFamily="34" charset="0"/>
          </a:endParaRPr>
        </a:p>
      </xdr:txBody>
    </xdr:sp>
    <xdr:clientData/>
  </xdr:twoCellAnchor>
  <xdr:twoCellAnchor>
    <xdr:from>
      <xdr:col>0</xdr:col>
      <xdr:colOff>311150</xdr:colOff>
      <xdr:row>16</xdr:row>
      <xdr:rowOff>165100</xdr:rowOff>
    </xdr:from>
    <xdr:to>
      <xdr:col>10</xdr:col>
      <xdr:colOff>9250</xdr:colOff>
      <xdr:row>17</xdr:row>
      <xdr:rowOff>133350</xdr:rowOff>
    </xdr:to>
    <xdr:sp macro="" textlink="">
      <xdr:nvSpPr>
        <xdr:cNvPr id="27" name="TextBox 26">
          <a:extLst>
            <a:ext uri="{FF2B5EF4-FFF2-40B4-BE49-F238E27FC236}">
              <a16:creationId xmlns:a16="http://schemas.microsoft.com/office/drawing/2014/main" id="{95BB9732-6D4D-4542-A9CF-518653FB8338}"/>
            </a:ext>
          </a:extLst>
        </xdr:cNvPr>
        <xdr:cNvSpPr txBox="1"/>
      </xdr:nvSpPr>
      <xdr:spPr>
        <a:xfrm>
          <a:off x="311150" y="3460750"/>
          <a:ext cx="6264000" cy="171450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GB" sz="1050" b="1">
              <a:solidFill>
                <a:srgbClr val="002060"/>
              </a:solidFill>
              <a:latin typeface="Century Gothic" panose="020B0502020202020204" pitchFamily="34" charset="0"/>
            </a:rPr>
            <a:t>NEARBY STRUCTURES THAT COULD CAUSE SHADDING SOLAR PV ARRAY</a:t>
          </a:r>
          <a:endParaRPr lang="en-NG" sz="1050" b="1">
            <a:solidFill>
              <a:srgbClr val="002060"/>
            </a:solidFill>
            <a:latin typeface="Century Gothic" panose="020B0502020202020204" pitchFamily="34" charset="0"/>
          </a:endParaRPr>
        </a:p>
      </xdr:txBody>
    </xdr:sp>
    <xdr:clientData/>
  </xdr:twoCellAnchor>
  <xdr:twoCellAnchor>
    <xdr:from>
      <xdr:col>0</xdr:col>
      <xdr:colOff>565150</xdr:colOff>
      <xdr:row>18</xdr:row>
      <xdr:rowOff>19050</xdr:rowOff>
    </xdr:from>
    <xdr:to>
      <xdr:col>1</xdr:col>
      <xdr:colOff>615950</xdr:colOff>
      <xdr:row>18</xdr:row>
      <xdr:rowOff>190500</xdr:rowOff>
    </xdr:to>
    <xdr:sp macro="" textlink="">
      <xdr:nvSpPr>
        <xdr:cNvPr id="28" name="TextBox 27">
          <a:extLst>
            <a:ext uri="{FF2B5EF4-FFF2-40B4-BE49-F238E27FC236}">
              <a16:creationId xmlns:a16="http://schemas.microsoft.com/office/drawing/2014/main" id="{0B2D0451-F473-493B-8782-707A357D1904}"/>
            </a:ext>
          </a:extLst>
        </xdr:cNvPr>
        <xdr:cNvSpPr txBox="1"/>
      </xdr:nvSpPr>
      <xdr:spPr>
        <a:xfrm>
          <a:off x="565150" y="3721100"/>
          <a:ext cx="7112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r"/>
          <a:r>
            <a:rPr lang="en-GB" sz="1050">
              <a:latin typeface="Abadi" panose="020B0604020104020204" pitchFamily="34" charset="0"/>
            </a:rPr>
            <a:t>Trees:</a:t>
          </a:r>
          <a:endParaRPr lang="en-NG" sz="1050">
            <a:latin typeface="Abadi" panose="020B0604020104020204" pitchFamily="34" charset="0"/>
          </a:endParaRPr>
        </a:p>
      </xdr:txBody>
    </xdr:sp>
    <xdr:clientData/>
  </xdr:twoCellAnchor>
  <xdr:twoCellAnchor>
    <xdr:from>
      <xdr:col>2</xdr:col>
      <xdr:colOff>660400</xdr:colOff>
      <xdr:row>18</xdr:row>
      <xdr:rowOff>19050</xdr:rowOff>
    </xdr:from>
    <xdr:to>
      <xdr:col>3</xdr:col>
      <xdr:colOff>635000</xdr:colOff>
      <xdr:row>18</xdr:row>
      <xdr:rowOff>190500</xdr:rowOff>
    </xdr:to>
    <xdr:sp macro="" textlink="">
      <xdr:nvSpPr>
        <xdr:cNvPr id="29" name="TextBox 28">
          <a:extLst>
            <a:ext uri="{FF2B5EF4-FFF2-40B4-BE49-F238E27FC236}">
              <a16:creationId xmlns:a16="http://schemas.microsoft.com/office/drawing/2014/main" id="{03E38012-2935-48F2-A8A7-C6CE0B30EB63}"/>
            </a:ext>
          </a:extLst>
        </xdr:cNvPr>
        <xdr:cNvSpPr txBox="1"/>
      </xdr:nvSpPr>
      <xdr:spPr>
        <a:xfrm>
          <a:off x="1981200" y="3721100"/>
          <a:ext cx="7112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r"/>
          <a:r>
            <a:rPr lang="en-GB" sz="1050">
              <a:latin typeface="Abadi" panose="020B0604020104020204" pitchFamily="34" charset="0"/>
            </a:rPr>
            <a:t>Towers:</a:t>
          </a:r>
          <a:endParaRPr lang="en-NG" sz="1050">
            <a:latin typeface="Abadi" panose="020B0604020104020204" pitchFamily="34" charset="0"/>
          </a:endParaRPr>
        </a:p>
      </xdr:txBody>
    </xdr:sp>
    <xdr:clientData/>
  </xdr:twoCellAnchor>
  <xdr:twoCellAnchor>
    <xdr:from>
      <xdr:col>5</xdr:col>
      <xdr:colOff>50800</xdr:colOff>
      <xdr:row>18</xdr:row>
      <xdr:rowOff>19050</xdr:rowOff>
    </xdr:from>
    <xdr:to>
      <xdr:col>7</xdr:col>
      <xdr:colOff>114300</xdr:colOff>
      <xdr:row>18</xdr:row>
      <xdr:rowOff>196850</xdr:rowOff>
    </xdr:to>
    <xdr:sp macro="" textlink="">
      <xdr:nvSpPr>
        <xdr:cNvPr id="30" name="TextBox 29">
          <a:extLst>
            <a:ext uri="{FF2B5EF4-FFF2-40B4-BE49-F238E27FC236}">
              <a16:creationId xmlns:a16="http://schemas.microsoft.com/office/drawing/2014/main" id="{08E85689-2E27-4CD3-9072-98B9026F792D}"/>
            </a:ext>
          </a:extLst>
        </xdr:cNvPr>
        <xdr:cNvSpPr txBox="1"/>
      </xdr:nvSpPr>
      <xdr:spPr>
        <a:xfrm>
          <a:off x="3524250" y="3721100"/>
          <a:ext cx="1466850" cy="177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r"/>
          <a:r>
            <a:rPr lang="en-GB" sz="1050">
              <a:latin typeface="Abadi" panose="020B0604020104020204" pitchFamily="34" charset="0"/>
            </a:rPr>
            <a:t>Neibouring Buildings:</a:t>
          </a:r>
          <a:endParaRPr lang="en-NG" sz="1050">
            <a:latin typeface="Abadi" panose="020B0604020104020204" pitchFamily="34" charset="0"/>
          </a:endParaRPr>
        </a:p>
      </xdr:txBody>
    </xdr:sp>
    <xdr:clientData/>
  </xdr:twoCellAnchor>
  <xdr:twoCellAnchor>
    <xdr:from>
      <xdr:col>0</xdr:col>
      <xdr:colOff>304800</xdr:colOff>
      <xdr:row>19</xdr:row>
      <xdr:rowOff>101600</xdr:rowOff>
    </xdr:from>
    <xdr:to>
      <xdr:col>10</xdr:col>
      <xdr:colOff>2900</xdr:colOff>
      <xdr:row>20</xdr:row>
      <xdr:rowOff>69850</xdr:rowOff>
    </xdr:to>
    <xdr:sp macro="" textlink="">
      <xdr:nvSpPr>
        <xdr:cNvPr id="31" name="TextBox 30">
          <a:extLst>
            <a:ext uri="{FF2B5EF4-FFF2-40B4-BE49-F238E27FC236}">
              <a16:creationId xmlns:a16="http://schemas.microsoft.com/office/drawing/2014/main" id="{BEEF014D-74C8-4FCE-A6C4-99F4308D076D}"/>
            </a:ext>
          </a:extLst>
        </xdr:cNvPr>
        <xdr:cNvSpPr txBox="1"/>
      </xdr:nvSpPr>
      <xdr:spPr>
        <a:xfrm>
          <a:off x="304800" y="4013200"/>
          <a:ext cx="6264000" cy="171450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GB" sz="1050" b="1">
              <a:solidFill>
                <a:srgbClr val="002060"/>
              </a:solidFill>
              <a:latin typeface="Century Gothic" panose="020B0502020202020204" pitchFamily="34" charset="0"/>
            </a:rPr>
            <a:t>ADDITIONAL USEFUL INFORMATION TO ACTUALIZE BEST RESULT </a:t>
          </a:r>
          <a:endParaRPr lang="en-NG" sz="1050" b="1">
            <a:solidFill>
              <a:srgbClr val="002060"/>
            </a:solidFill>
            <a:latin typeface="Century Gothic" panose="020B0502020202020204" pitchFamily="34" charset="0"/>
          </a:endParaRPr>
        </a:p>
      </xdr:txBody>
    </xdr:sp>
    <xdr:clientData/>
  </xdr:twoCellAnchor>
  <xdr:twoCellAnchor>
    <xdr:from>
      <xdr:col>0</xdr:col>
      <xdr:colOff>304800</xdr:colOff>
      <xdr:row>25</xdr:row>
      <xdr:rowOff>120650</xdr:rowOff>
    </xdr:from>
    <xdr:to>
      <xdr:col>10</xdr:col>
      <xdr:colOff>2900</xdr:colOff>
      <xdr:row>26</xdr:row>
      <xdr:rowOff>103800</xdr:rowOff>
    </xdr:to>
    <xdr:sp macro="" textlink="">
      <xdr:nvSpPr>
        <xdr:cNvPr id="32" name="TextBox 31">
          <a:extLst>
            <a:ext uri="{FF2B5EF4-FFF2-40B4-BE49-F238E27FC236}">
              <a16:creationId xmlns:a16="http://schemas.microsoft.com/office/drawing/2014/main" id="{5A13CECA-654C-44AC-9D71-FCEC91DF66C6}"/>
            </a:ext>
          </a:extLst>
        </xdr:cNvPr>
        <xdr:cNvSpPr txBox="1"/>
      </xdr:nvSpPr>
      <xdr:spPr>
        <a:xfrm>
          <a:off x="304800" y="6667500"/>
          <a:ext cx="6264000" cy="180000"/>
        </a:xfrm>
        <a:prstGeom prst="rect">
          <a:avLst/>
        </a:prstGeom>
        <a:solidFill>
          <a:srgbClr val="00206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GB" sz="1050" b="1">
              <a:solidFill>
                <a:schemeClr val="bg1"/>
              </a:solidFill>
              <a:latin typeface="Berlin Sans FB Demi" panose="020E0802020502020306" pitchFamily="34" charset="0"/>
            </a:rPr>
            <a:t>POWER</a:t>
          </a:r>
          <a:r>
            <a:rPr lang="en-GB" sz="1050" b="1" baseline="0">
              <a:solidFill>
                <a:schemeClr val="bg1"/>
              </a:solidFill>
              <a:latin typeface="Berlin Sans FB Demi" panose="020E0802020502020306" pitchFamily="34" charset="0"/>
            </a:rPr>
            <a:t> SUPPLY INFRASTRUCTURE</a:t>
          </a:r>
          <a:endParaRPr lang="en-NG" sz="1050" b="1">
            <a:solidFill>
              <a:schemeClr val="bg1"/>
            </a:solidFill>
            <a:latin typeface="Berlin Sans FB Demi" panose="020E0802020502020306" pitchFamily="34" charset="0"/>
          </a:endParaRPr>
        </a:p>
      </xdr:txBody>
    </xdr:sp>
    <xdr:clientData/>
  </xdr:twoCellAnchor>
  <xdr:twoCellAnchor>
    <xdr:from>
      <xdr:col>0</xdr:col>
      <xdr:colOff>304800</xdr:colOff>
      <xdr:row>27</xdr:row>
      <xdr:rowOff>82550</xdr:rowOff>
    </xdr:from>
    <xdr:to>
      <xdr:col>1</xdr:col>
      <xdr:colOff>654050</xdr:colOff>
      <xdr:row>29</xdr:row>
      <xdr:rowOff>107950</xdr:rowOff>
    </xdr:to>
    <xdr:sp macro="" textlink="">
      <xdr:nvSpPr>
        <xdr:cNvPr id="33" name="TextBox 32">
          <a:extLst>
            <a:ext uri="{FF2B5EF4-FFF2-40B4-BE49-F238E27FC236}">
              <a16:creationId xmlns:a16="http://schemas.microsoft.com/office/drawing/2014/main" id="{F3943D9D-3637-46C6-B465-D4B4D6F1A57C}"/>
            </a:ext>
          </a:extLst>
        </xdr:cNvPr>
        <xdr:cNvSpPr txBox="1"/>
      </xdr:nvSpPr>
      <xdr:spPr>
        <a:xfrm>
          <a:off x="304800" y="7023100"/>
          <a:ext cx="1009650" cy="438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n-GB" sz="1050">
              <a:latin typeface="Abadi" panose="020B0604020104020204" pitchFamily="34" charset="0"/>
            </a:rPr>
            <a:t>Number</a:t>
          </a:r>
          <a:r>
            <a:rPr lang="en-GB" sz="1050" baseline="0">
              <a:latin typeface="Abadi" panose="020B0604020104020204" pitchFamily="34" charset="0"/>
            </a:rPr>
            <a:t> of Generators</a:t>
          </a:r>
          <a:r>
            <a:rPr lang="en-GB" sz="1050">
              <a:latin typeface="Abadi" panose="020B0604020104020204" pitchFamily="34" charset="0"/>
            </a:rPr>
            <a:t>:</a:t>
          </a:r>
          <a:endParaRPr lang="en-NG" sz="1050">
            <a:latin typeface="Abadi" panose="020B0604020104020204" pitchFamily="34" charset="0"/>
          </a:endParaRPr>
        </a:p>
      </xdr:txBody>
    </xdr:sp>
    <xdr:clientData/>
  </xdr:twoCellAnchor>
  <xdr:twoCellAnchor>
    <xdr:from>
      <xdr:col>0</xdr:col>
      <xdr:colOff>311150</xdr:colOff>
      <xdr:row>31</xdr:row>
      <xdr:rowOff>0</xdr:rowOff>
    </xdr:from>
    <xdr:to>
      <xdr:col>1</xdr:col>
      <xdr:colOff>615950</xdr:colOff>
      <xdr:row>32</xdr:row>
      <xdr:rowOff>12700</xdr:rowOff>
    </xdr:to>
    <xdr:sp macro="" textlink="">
      <xdr:nvSpPr>
        <xdr:cNvPr id="34" name="TextBox 33">
          <a:extLst>
            <a:ext uri="{FF2B5EF4-FFF2-40B4-BE49-F238E27FC236}">
              <a16:creationId xmlns:a16="http://schemas.microsoft.com/office/drawing/2014/main" id="{302162B4-4FB3-44FE-9C9C-2E55D77E9C0D}"/>
            </a:ext>
          </a:extLst>
        </xdr:cNvPr>
        <xdr:cNvSpPr txBox="1"/>
      </xdr:nvSpPr>
      <xdr:spPr>
        <a:xfrm>
          <a:off x="311150" y="7759700"/>
          <a:ext cx="965200" cy="2222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n-GB" sz="1050">
              <a:latin typeface="Abadi" panose="020B0604020104020204" pitchFamily="34" charset="0"/>
            </a:rPr>
            <a:t>Generator 1:</a:t>
          </a:r>
          <a:endParaRPr lang="en-NG" sz="1050">
            <a:latin typeface="Abadi" panose="020B0604020104020204" pitchFamily="34" charset="0"/>
          </a:endParaRPr>
        </a:p>
      </xdr:txBody>
    </xdr:sp>
    <xdr:clientData/>
  </xdr:twoCellAnchor>
  <xdr:twoCellAnchor>
    <xdr:from>
      <xdr:col>0</xdr:col>
      <xdr:colOff>311150</xdr:colOff>
      <xdr:row>31</xdr:row>
      <xdr:rowOff>196850</xdr:rowOff>
    </xdr:from>
    <xdr:to>
      <xdr:col>1</xdr:col>
      <xdr:colOff>615950</xdr:colOff>
      <xdr:row>33</xdr:row>
      <xdr:rowOff>0</xdr:rowOff>
    </xdr:to>
    <xdr:sp macro="" textlink="">
      <xdr:nvSpPr>
        <xdr:cNvPr id="35" name="TextBox 34">
          <a:extLst>
            <a:ext uri="{FF2B5EF4-FFF2-40B4-BE49-F238E27FC236}">
              <a16:creationId xmlns:a16="http://schemas.microsoft.com/office/drawing/2014/main" id="{2E075B8B-2851-4B3D-AC10-45DBE47C5EFE}"/>
            </a:ext>
          </a:extLst>
        </xdr:cNvPr>
        <xdr:cNvSpPr txBox="1"/>
      </xdr:nvSpPr>
      <xdr:spPr>
        <a:xfrm>
          <a:off x="311150" y="7956550"/>
          <a:ext cx="965200" cy="2222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n-GB" sz="1050">
              <a:latin typeface="Abadi" panose="020B0604020104020204" pitchFamily="34" charset="0"/>
            </a:rPr>
            <a:t>Generator 2:</a:t>
          </a:r>
          <a:endParaRPr lang="en-NG" sz="1050">
            <a:latin typeface="Abadi" panose="020B0604020104020204" pitchFamily="34" charset="0"/>
          </a:endParaRPr>
        </a:p>
      </xdr:txBody>
    </xdr:sp>
    <xdr:clientData/>
  </xdr:twoCellAnchor>
  <xdr:twoCellAnchor>
    <xdr:from>
      <xdr:col>0</xdr:col>
      <xdr:colOff>311150</xdr:colOff>
      <xdr:row>32</xdr:row>
      <xdr:rowOff>196850</xdr:rowOff>
    </xdr:from>
    <xdr:to>
      <xdr:col>1</xdr:col>
      <xdr:colOff>615950</xdr:colOff>
      <xdr:row>34</xdr:row>
      <xdr:rowOff>0</xdr:rowOff>
    </xdr:to>
    <xdr:sp macro="" textlink="">
      <xdr:nvSpPr>
        <xdr:cNvPr id="36" name="TextBox 35">
          <a:extLst>
            <a:ext uri="{FF2B5EF4-FFF2-40B4-BE49-F238E27FC236}">
              <a16:creationId xmlns:a16="http://schemas.microsoft.com/office/drawing/2014/main" id="{8B7A3E62-B8A1-4E8C-8873-AF166A61BBC6}"/>
            </a:ext>
          </a:extLst>
        </xdr:cNvPr>
        <xdr:cNvSpPr txBox="1"/>
      </xdr:nvSpPr>
      <xdr:spPr>
        <a:xfrm>
          <a:off x="311150" y="8166100"/>
          <a:ext cx="965200" cy="2222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n-GB" sz="1050">
              <a:latin typeface="Abadi" panose="020B0604020104020204" pitchFamily="34" charset="0"/>
            </a:rPr>
            <a:t>Generator 3:</a:t>
          </a:r>
          <a:endParaRPr lang="en-NG" sz="1050">
            <a:latin typeface="Abadi" panose="020B0604020104020204" pitchFamily="34" charset="0"/>
          </a:endParaRPr>
        </a:p>
      </xdr:txBody>
    </xdr:sp>
    <xdr:clientData/>
  </xdr:twoCellAnchor>
  <xdr:twoCellAnchor>
    <xdr:from>
      <xdr:col>0</xdr:col>
      <xdr:colOff>311150</xdr:colOff>
      <xdr:row>33</xdr:row>
      <xdr:rowOff>196850</xdr:rowOff>
    </xdr:from>
    <xdr:to>
      <xdr:col>1</xdr:col>
      <xdr:colOff>615950</xdr:colOff>
      <xdr:row>35</xdr:row>
      <xdr:rowOff>0</xdr:rowOff>
    </xdr:to>
    <xdr:sp macro="" textlink="">
      <xdr:nvSpPr>
        <xdr:cNvPr id="37" name="TextBox 36">
          <a:extLst>
            <a:ext uri="{FF2B5EF4-FFF2-40B4-BE49-F238E27FC236}">
              <a16:creationId xmlns:a16="http://schemas.microsoft.com/office/drawing/2014/main" id="{7ED1E554-A815-4689-834B-AC4740CD4662}"/>
            </a:ext>
          </a:extLst>
        </xdr:cNvPr>
        <xdr:cNvSpPr txBox="1"/>
      </xdr:nvSpPr>
      <xdr:spPr>
        <a:xfrm>
          <a:off x="311150" y="8375650"/>
          <a:ext cx="965200" cy="2222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n-GB" sz="1050">
              <a:latin typeface="Abadi" panose="020B0604020104020204" pitchFamily="34" charset="0"/>
            </a:rPr>
            <a:t>Generator 4:</a:t>
          </a:r>
          <a:endParaRPr lang="en-NG" sz="1050">
            <a:latin typeface="Abadi" panose="020B0604020104020204" pitchFamily="34" charset="0"/>
          </a:endParaRPr>
        </a:p>
      </xdr:txBody>
    </xdr:sp>
    <xdr:clientData/>
  </xdr:twoCellAnchor>
  <xdr:twoCellAnchor>
    <xdr:from>
      <xdr:col>0</xdr:col>
      <xdr:colOff>311150</xdr:colOff>
      <xdr:row>34</xdr:row>
      <xdr:rowOff>190500</xdr:rowOff>
    </xdr:from>
    <xdr:to>
      <xdr:col>1</xdr:col>
      <xdr:colOff>615950</xdr:colOff>
      <xdr:row>35</xdr:row>
      <xdr:rowOff>203200</xdr:rowOff>
    </xdr:to>
    <xdr:sp macro="" textlink="">
      <xdr:nvSpPr>
        <xdr:cNvPr id="38" name="TextBox 37">
          <a:extLst>
            <a:ext uri="{FF2B5EF4-FFF2-40B4-BE49-F238E27FC236}">
              <a16:creationId xmlns:a16="http://schemas.microsoft.com/office/drawing/2014/main" id="{56EF4A6A-1FC9-473A-9849-D7FFF3D34F29}"/>
            </a:ext>
          </a:extLst>
        </xdr:cNvPr>
        <xdr:cNvSpPr txBox="1"/>
      </xdr:nvSpPr>
      <xdr:spPr>
        <a:xfrm>
          <a:off x="311150" y="8578850"/>
          <a:ext cx="965200" cy="2222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n-GB" sz="1050">
              <a:latin typeface="Abadi" panose="020B0604020104020204" pitchFamily="34" charset="0"/>
            </a:rPr>
            <a:t>Generator 5:</a:t>
          </a:r>
          <a:endParaRPr lang="en-NG" sz="1050">
            <a:latin typeface="Abadi" panose="020B0604020104020204" pitchFamily="34" charset="0"/>
          </a:endParaRPr>
        </a:p>
      </xdr:txBody>
    </xdr:sp>
    <xdr:clientData/>
  </xdr:twoCellAnchor>
  <xdr:twoCellAnchor>
    <xdr:from>
      <xdr:col>1</xdr:col>
      <xdr:colOff>546100</xdr:colOff>
      <xdr:row>29</xdr:row>
      <xdr:rowOff>146050</xdr:rowOff>
    </xdr:from>
    <xdr:to>
      <xdr:col>3</xdr:col>
      <xdr:colOff>158750</xdr:colOff>
      <xdr:row>30</xdr:row>
      <xdr:rowOff>190500</xdr:rowOff>
    </xdr:to>
    <xdr:sp macro="" textlink="">
      <xdr:nvSpPr>
        <xdr:cNvPr id="39" name="TextBox 38">
          <a:extLst>
            <a:ext uri="{FF2B5EF4-FFF2-40B4-BE49-F238E27FC236}">
              <a16:creationId xmlns:a16="http://schemas.microsoft.com/office/drawing/2014/main" id="{96BC81C1-51CF-4582-8BFF-F325C8D262B2}"/>
            </a:ext>
          </a:extLst>
        </xdr:cNvPr>
        <xdr:cNvSpPr txBox="1"/>
      </xdr:nvSpPr>
      <xdr:spPr>
        <a:xfrm>
          <a:off x="1206500" y="7499350"/>
          <a:ext cx="1009650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n-GB" sz="1050">
              <a:latin typeface="Abadi" panose="020B0604020104020204" pitchFamily="34" charset="0"/>
            </a:rPr>
            <a:t>Capacity (kVA)</a:t>
          </a:r>
          <a:endParaRPr lang="en-NG" sz="1050">
            <a:latin typeface="Abadi" panose="020B0604020104020204" pitchFamily="34" charset="0"/>
          </a:endParaRPr>
        </a:p>
      </xdr:txBody>
    </xdr:sp>
    <xdr:clientData/>
  </xdr:twoCellAnchor>
  <xdr:twoCellAnchor>
    <xdr:from>
      <xdr:col>3</xdr:col>
      <xdr:colOff>533400</xdr:colOff>
      <xdr:row>29</xdr:row>
      <xdr:rowOff>107950</xdr:rowOff>
    </xdr:from>
    <xdr:to>
      <xdr:col>5</xdr:col>
      <xdr:colOff>127000</xdr:colOff>
      <xdr:row>31</xdr:row>
      <xdr:rowOff>38100</xdr:rowOff>
    </xdr:to>
    <xdr:sp macro="" textlink="">
      <xdr:nvSpPr>
        <xdr:cNvPr id="40" name="TextBox 39">
          <a:extLst>
            <a:ext uri="{FF2B5EF4-FFF2-40B4-BE49-F238E27FC236}">
              <a16:creationId xmlns:a16="http://schemas.microsoft.com/office/drawing/2014/main" id="{724B49C0-EBB8-433B-9859-526400F8CF90}"/>
            </a:ext>
          </a:extLst>
        </xdr:cNvPr>
        <xdr:cNvSpPr txBox="1"/>
      </xdr:nvSpPr>
      <xdr:spPr>
        <a:xfrm>
          <a:off x="2590800" y="7461250"/>
          <a:ext cx="1009650" cy="336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n-GB" sz="1050">
              <a:latin typeface="Abadi" panose="020B0604020104020204" pitchFamily="34" charset="0"/>
            </a:rPr>
            <a:t>Make (Brands)</a:t>
          </a:r>
          <a:endParaRPr lang="en-NG" sz="1050">
            <a:latin typeface="Abadi" panose="020B0604020104020204" pitchFamily="34" charset="0"/>
          </a:endParaRPr>
        </a:p>
      </xdr:txBody>
    </xdr:sp>
    <xdr:clientData/>
  </xdr:twoCellAnchor>
  <xdr:twoCellAnchor>
    <xdr:from>
      <xdr:col>5</xdr:col>
      <xdr:colOff>635000</xdr:colOff>
      <xdr:row>29</xdr:row>
      <xdr:rowOff>76200</xdr:rowOff>
    </xdr:from>
    <xdr:to>
      <xdr:col>7</xdr:col>
      <xdr:colOff>25400</xdr:colOff>
      <xdr:row>31</xdr:row>
      <xdr:rowOff>6350</xdr:rowOff>
    </xdr:to>
    <xdr:sp macro="" textlink="">
      <xdr:nvSpPr>
        <xdr:cNvPr id="41" name="TextBox 40">
          <a:extLst>
            <a:ext uri="{FF2B5EF4-FFF2-40B4-BE49-F238E27FC236}">
              <a16:creationId xmlns:a16="http://schemas.microsoft.com/office/drawing/2014/main" id="{6D860FF5-8893-46B6-9CD5-F8F51DAA1041}"/>
            </a:ext>
          </a:extLst>
        </xdr:cNvPr>
        <xdr:cNvSpPr txBox="1"/>
      </xdr:nvSpPr>
      <xdr:spPr>
        <a:xfrm>
          <a:off x="4108450" y="7429500"/>
          <a:ext cx="793750" cy="336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n-GB" sz="1050">
              <a:latin typeface="Abadi" panose="020B0604020104020204" pitchFamily="34" charset="0"/>
            </a:rPr>
            <a:t>Fuel Types</a:t>
          </a:r>
          <a:endParaRPr lang="en-NG" sz="1050">
            <a:latin typeface="Abadi" panose="020B0604020104020204" pitchFamily="34" charset="0"/>
          </a:endParaRPr>
        </a:p>
      </xdr:txBody>
    </xdr:sp>
    <xdr:clientData/>
  </xdr:twoCellAnchor>
  <xdr:twoCellAnchor>
    <xdr:from>
      <xdr:col>8</xdr:col>
      <xdr:colOff>552450</xdr:colOff>
      <xdr:row>29</xdr:row>
      <xdr:rowOff>69850</xdr:rowOff>
    </xdr:from>
    <xdr:to>
      <xdr:col>11</xdr:col>
      <xdr:colOff>19050</xdr:colOff>
      <xdr:row>31</xdr:row>
      <xdr:rowOff>0</xdr:rowOff>
    </xdr:to>
    <xdr:sp macro="" textlink="">
      <xdr:nvSpPr>
        <xdr:cNvPr id="42" name="TextBox 41">
          <a:extLst>
            <a:ext uri="{FF2B5EF4-FFF2-40B4-BE49-F238E27FC236}">
              <a16:creationId xmlns:a16="http://schemas.microsoft.com/office/drawing/2014/main" id="{70C17D21-347A-452A-8EC3-CB1C5B116EFC}"/>
            </a:ext>
          </a:extLst>
        </xdr:cNvPr>
        <xdr:cNvSpPr txBox="1"/>
      </xdr:nvSpPr>
      <xdr:spPr>
        <a:xfrm>
          <a:off x="5549900" y="7423150"/>
          <a:ext cx="1079500" cy="336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n-GB" sz="1050">
              <a:latin typeface="Abadi" panose="020B0604020104020204" pitchFamily="34" charset="0"/>
            </a:rPr>
            <a:t>Total Run Time</a:t>
          </a:r>
          <a:endParaRPr lang="en-NG" sz="1050">
            <a:latin typeface="Abadi" panose="020B0604020104020204" pitchFamily="34" charset="0"/>
          </a:endParaRPr>
        </a:p>
      </xdr:txBody>
    </xdr:sp>
    <xdr:clientData/>
  </xdr:twoCellAnchor>
  <xdr:twoCellAnchor>
    <xdr:from>
      <xdr:col>5</xdr:col>
      <xdr:colOff>336550</xdr:colOff>
      <xdr:row>27</xdr:row>
      <xdr:rowOff>82550</xdr:rowOff>
    </xdr:from>
    <xdr:to>
      <xdr:col>7</xdr:col>
      <xdr:colOff>82550</xdr:colOff>
      <xdr:row>29</xdr:row>
      <xdr:rowOff>107950</xdr:rowOff>
    </xdr:to>
    <xdr:sp macro="" textlink="">
      <xdr:nvSpPr>
        <xdr:cNvPr id="43" name="TextBox 42">
          <a:extLst>
            <a:ext uri="{FF2B5EF4-FFF2-40B4-BE49-F238E27FC236}">
              <a16:creationId xmlns:a16="http://schemas.microsoft.com/office/drawing/2014/main" id="{1A2559B2-6B88-4A73-BB40-DAFC3ACC1ACC}"/>
            </a:ext>
          </a:extLst>
        </xdr:cNvPr>
        <xdr:cNvSpPr txBox="1"/>
      </xdr:nvSpPr>
      <xdr:spPr>
        <a:xfrm>
          <a:off x="3810000" y="7023100"/>
          <a:ext cx="1149350" cy="438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n-GB" sz="1050">
              <a:latin typeface="Abadi" panose="020B0604020104020204" pitchFamily="34" charset="0"/>
            </a:rPr>
            <a:t>Generator Tie-in</a:t>
          </a:r>
          <a:r>
            <a:rPr lang="en-GB" sz="1050" baseline="0">
              <a:latin typeface="Abadi" panose="020B0604020104020204" pitchFamily="34" charset="0"/>
            </a:rPr>
            <a:t> Voltage</a:t>
          </a:r>
          <a:r>
            <a:rPr lang="en-GB" sz="1050">
              <a:latin typeface="Abadi" panose="020B0604020104020204" pitchFamily="34" charset="0"/>
            </a:rPr>
            <a:t>:</a:t>
          </a:r>
          <a:endParaRPr lang="en-NG" sz="1050">
            <a:latin typeface="Abadi" panose="020B0604020104020204" pitchFamily="34" charset="0"/>
          </a:endParaRPr>
        </a:p>
      </xdr:txBody>
    </xdr:sp>
    <xdr:clientData/>
  </xdr:twoCellAnchor>
  <xdr:twoCellAnchor>
    <xdr:from>
      <xdr:col>0</xdr:col>
      <xdr:colOff>463550</xdr:colOff>
      <xdr:row>26</xdr:row>
      <xdr:rowOff>146050</xdr:rowOff>
    </xdr:from>
    <xdr:to>
      <xdr:col>3</xdr:col>
      <xdr:colOff>242150</xdr:colOff>
      <xdr:row>27</xdr:row>
      <xdr:rowOff>165200</xdr:rowOff>
    </xdr:to>
    <xdr:sp macro="" textlink="">
      <xdr:nvSpPr>
        <xdr:cNvPr id="44" name="TextBox 43">
          <a:extLst>
            <a:ext uri="{FF2B5EF4-FFF2-40B4-BE49-F238E27FC236}">
              <a16:creationId xmlns:a16="http://schemas.microsoft.com/office/drawing/2014/main" id="{D7502BC5-45D0-40E7-AB0B-29C2679ABA2A}"/>
            </a:ext>
          </a:extLst>
        </xdr:cNvPr>
        <xdr:cNvSpPr txBox="1"/>
      </xdr:nvSpPr>
      <xdr:spPr>
        <a:xfrm>
          <a:off x="463550" y="6889750"/>
          <a:ext cx="1836000" cy="216000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GB" sz="1050" b="1">
              <a:solidFill>
                <a:srgbClr val="002060"/>
              </a:solidFill>
              <a:latin typeface="Century Gothic" panose="020B0502020202020204" pitchFamily="34" charset="0"/>
            </a:rPr>
            <a:t>Generator Power Supply</a:t>
          </a:r>
          <a:endParaRPr lang="en-NG" sz="1050" b="1">
            <a:solidFill>
              <a:srgbClr val="002060"/>
            </a:solidFill>
            <a:latin typeface="Century Gothic" panose="020B0502020202020204" pitchFamily="34" charset="0"/>
          </a:endParaRPr>
        </a:p>
      </xdr:txBody>
    </xdr:sp>
    <xdr:clientData/>
  </xdr:twoCellAnchor>
  <xdr:twoCellAnchor>
    <xdr:from>
      <xdr:col>0</xdr:col>
      <xdr:colOff>463550</xdr:colOff>
      <xdr:row>36</xdr:row>
      <xdr:rowOff>114300</xdr:rowOff>
    </xdr:from>
    <xdr:to>
      <xdr:col>1</xdr:col>
      <xdr:colOff>647700</xdr:colOff>
      <xdr:row>38</xdr:row>
      <xdr:rowOff>101600</xdr:rowOff>
    </xdr:to>
    <xdr:sp macro="" textlink="">
      <xdr:nvSpPr>
        <xdr:cNvPr id="45" name="TextBox 44">
          <a:extLst>
            <a:ext uri="{FF2B5EF4-FFF2-40B4-BE49-F238E27FC236}">
              <a16:creationId xmlns:a16="http://schemas.microsoft.com/office/drawing/2014/main" id="{EBF30A11-D384-43EF-8F43-80FD35B84F27}"/>
            </a:ext>
          </a:extLst>
        </xdr:cNvPr>
        <xdr:cNvSpPr txBox="1"/>
      </xdr:nvSpPr>
      <xdr:spPr>
        <a:xfrm>
          <a:off x="463550" y="8921750"/>
          <a:ext cx="844550" cy="406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n-GB" sz="1050">
              <a:latin typeface="Abadi" panose="020B0604020104020204" pitchFamily="34" charset="0"/>
            </a:rPr>
            <a:t>Night</a:t>
          </a:r>
        </a:p>
        <a:p>
          <a:pPr algn="r"/>
          <a:r>
            <a:rPr lang="en-GB" sz="1050">
              <a:latin typeface="Abadi" panose="020B0604020104020204" pitchFamily="34" charset="0"/>
            </a:rPr>
            <a:t>Operation:</a:t>
          </a:r>
          <a:endParaRPr lang="en-NG" sz="1050">
            <a:latin typeface="Abadi" panose="020B0604020104020204" pitchFamily="34" charset="0"/>
          </a:endParaRPr>
        </a:p>
      </xdr:txBody>
    </xdr:sp>
    <xdr:clientData/>
  </xdr:twoCellAnchor>
  <xdr:twoCellAnchor>
    <xdr:from>
      <xdr:col>4</xdr:col>
      <xdr:colOff>0</xdr:colOff>
      <xdr:row>36</xdr:row>
      <xdr:rowOff>127000</xdr:rowOff>
    </xdr:from>
    <xdr:to>
      <xdr:col>5</xdr:col>
      <xdr:colOff>25400</xdr:colOff>
      <xdr:row>38</xdr:row>
      <xdr:rowOff>101600</xdr:rowOff>
    </xdr:to>
    <xdr:sp macro="" textlink="">
      <xdr:nvSpPr>
        <xdr:cNvPr id="46" name="TextBox 45">
          <a:extLst>
            <a:ext uri="{FF2B5EF4-FFF2-40B4-BE49-F238E27FC236}">
              <a16:creationId xmlns:a16="http://schemas.microsoft.com/office/drawing/2014/main" id="{B24D155A-4CD2-489A-9882-24068D70AAE9}"/>
            </a:ext>
          </a:extLst>
        </xdr:cNvPr>
        <xdr:cNvSpPr txBox="1"/>
      </xdr:nvSpPr>
      <xdr:spPr>
        <a:xfrm>
          <a:off x="2717800" y="8934450"/>
          <a:ext cx="781050" cy="393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n-GB" sz="1050">
              <a:latin typeface="Abadi" panose="020B0604020104020204" pitchFamily="34" charset="0"/>
            </a:rPr>
            <a:t>Weekend</a:t>
          </a:r>
        </a:p>
        <a:p>
          <a:pPr algn="r"/>
          <a:r>
            <a:rPr lang="en-GB" sz="1050">
              <a:latin typeface="Abadi" panose="020B0604020104020204" pitchFamily="34" charset="0"/>
            </a:rPr>
            <a:t>Operation:</a:t>
          </a:r>
          <a:endParaRPr lang="en-NG" sz="1050">
            <a:latin typeface="Abadi" panose="020B0604020104020204" pitchFamily="34" charset="0"/>
          </a:endParaRPr>
        </a:p>
      </xdr:txBody>
    </xdr:sp>
    <xdr:clientData/>
  </xdr:twoCellAnchor>
  <xdr:twoCellAnchor>
    <xdr:from>
      <xdr:col>6</xdr:col>
      <xdr:colOff>412750</xdr:colOff>
      <xdr:row>36</xdr:row>
      <xdr:rowOff>114300</xdr:rowOff>
    </xdr:from>
    <xdr:to>
      <xdr:col>9</xdr:col>
      <xdr:colOff>38100</xdr:colOff>
      <xdr:row>38</xdr:row>
      <xdr:rowOff>101600</xdr:rowOff>
    </xdr:to>
    <xdr:sp macro="" textlink="">
      <xdr:nvSpPr>
        <xdr:cNvPr id="47" name="TextBox 46">
          <a:extLst>
            <a:ext uri="{FF2B5EF4-FFF2-40B4-BE49-F238E27FC236}">
              <a16:creationId xmlns:a16="http://schemas.microsoft.com/office/drawing/2014/main" id="{1A8D5B8E-06CF-41A4-9D2D-BD22E94336A8}"/>
            </a:ext>
          </a:extLst>
        </xdr:cNvPr>
        <xdr:cNvSpPr txBox="1"/>
      </xdr:nvSpPr>
      <xdr:spPr>
        <a:xfrm>
          <a:off x="4546600" y="8921750"/>
          <a:ext cx="1149350" cy="406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n-GB" sz="1050">
              <a:latin typeface="Abadi" panose="020B0604020104020204" pitchFamily="34" charset="0"/>
            </a:rPr>
            <a:t>Average Daily</a:t>
          </a:r>
          <a:r>
            <a:rPr lang="en-GB" sz="1050" baseline="0">
              <a:latin typeface="Abadi" panose="020B0604020104020204" pitchFamily="34" charset="0"/>
            </a:rPr>
            <a:t> Run-Hours</a:t>
          </a:r>
          <a:r>
            <a:rPr lang="en-GB" sz="1050">
              <a:latin typeface="Abadi" panose="020B0604020104020204" pitchFamily="34" charset="0"/>
            </a:rPr>
            <a:t>:</a:t>
          </a:r>
          <a:endParaRPr lang="en-NG" sz="1050">
            <a:latin typeface="Abadi" panose="020B0604020104020204" pitchFamily="34" charset="0"/>
          </a:endParaRPr>
        </a:p>
      </xdr:txBody>
    </xdr:sp>
    <xdr:clientData/>
  </xdr:twoCellAnchor>
  <xdr:twoCellAnchor>
    <xdr:from>
      <xdr:col>0</xdr:col>
      <xdr:colOff>304800</xdr:colOff>
      <xdr:row>48</xdr:row>
      <xdr:rowOff>82550</xdr:rowOff>
    </xdr:from>
    <xdr:to>
      <xdr:col>1</xdr:col>
      <xdr:colOff>654050</xdr:colOff>
      <xdr:row>50</xdr:row>
      <xdr:rowOff>107950</xdr:rowOff>
    </xdr:to>
    <xdr:sp macro="" textlink="">
      <xdr:nvSpPr>
        <xdr:cNvPr id="48" name="TextBox 47">
          <a:extLst>
            <a:ext uri="{FF2B5EF4-FFF2-40B4-BE49-F238E27FC236}">
              <a16:creationId xmlns:a16="http://schemas.microsoft.com/office/drawing/2014/main" id="{0A9EB1E8-B6B2-45D8-A64D-64E5D7155AFE}"/>
            </a:ext>
          </a:extLst>
        </xdr:cNvPr>
        <xdr:cNvSpPr txBox="1"/>
      </xdr:nvSpPr>
      <xdr:spPr>
        <a:xfrm>
          <a:off x="304800" y="11283950"/>
          <a:ext cx="1009650" cy="438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n-GB" sz="1050">
              <a:latin typeface="Abadi" panose="020B0604020104020204" pitchFamily="34" charset="0"/>
            </a:rPr>
            <a:t>Number</a:t>
          </a:r>
          <a:r>
            <a:rPr lang="en-GB" sz="1050" baseline="0">
              <a:latin typeface="Abadi" panose="020B0604020104020204" pitchFamily="34" charset="0"/>
            </a:rPr>
            <a:t> of Supply Points</a:t>
          </a:r>
          <a:r>
            <a:rPr lang="en-GB" sz="1050">
              <a:latin typeface="Abadi" panose="020B0604020104020204" pitchFamily="34" charset="0"/>
            </a:rPr>
            <a:t>:</a:t>
          </a:r>
          <a:endParaRPr lang="en-NG" sz="1050">
            <a:latin typeface="Abadi" panose="020B0604020104020204" pitchFamily="34" charset="0"/>
          </a:endParaRPr>
        </a:p>
      </xdr:txBody>
    </xdr:sp>
    <xdr:clientData/>
  </xdr:twoCellAnchor>
  <xdr:twoCellAnchor>
    <xdr:from>
      <xdr:col>0</xdr:col>
      <xdr:colOff>311150</xdr:colOff>
      <xdr:row>52</xdr:row>
      <xdr:rowOff>0</xdr:rowOff>
    </xdr:from>
    <xdr:to>
      <xdr:col>1</xdr:col>
      <xdr:colOff>615950</xdr:colOff>
      <xdr:row>53</xdr:row>
      <xdr:rowOff>12700</xdr:rowOff>
    </xdr:to>
    <xdr:sp macro="" textlink="">
      <xdr:nvSpPr>
        <xdr:cNvPr id="49" name="TextBox 48">
          <a:extLst>
            <a:ext uri="{FF2B5EF4-FFF2-40B4-BE49-F238E27FC236}">
              <a16:creationId xmlns:a16="http://schemas.microsoft.com/office/drawing/2014/main" id="{1FDD551A-8F56-4306-814D-367BBDC3911A}"/>
            </a:ext>
          </a:extLst>
        </xdr:cNvPr>
        <xdr:cNvSpPr txBox="1"/>
      </xdr:nvSpPr>
      <xdr:spPr>
        <a:xfrm>
          <a:off x="311150" y="12020550"/>
          <a:ext cx="965200" cy="2222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n-GB" sz="1050">
              <a:latin typeface="Abadi" panose="020B0604020104020204" pitchFamily="34" charset="0"/>
            </a:rPr>
            <a:t>Supply 1:</a:t>
          </a:r>
          <a:endParaRPr lang="en-NG" sz="1050">
            <a:latin typeface="Abadi" panose="020B0604020104020204" pitchFamily="34" charset="0"/>
          </a:endParaRPr>
        </a:p>
      </xdr:txBody>
    </xdr:sp>
    <xdr:clientData/>
  </xdr:twoCellAnchor>
  <xdr:twoCellAnchor>
    <xdr:from>
      <xdr:col>0</xdr:col>
      <xdr:colOff>311150</xdr:colOff>
      <xdr:row>52</xdr:row>
      <xdr:rowOff>196850</xdr:rowOff>
    </xdr:from>
    <xdr:to>
      <xdr:col>1</xdr:col>
      <xdr:colOff>615950</xdr:colOff>
      <xdr:row>54</xdr:row>
      <xdr:rowOff>0</xdr:rowOff>
    </xdr:to>
    <xdr:sp macro="" textlink="">
      <xdr:nvSpPr>
        <xdr:cNvPr id="50" name="TextBox 49">
          <a:extLst>
            <a:ext uri="{FF2B5EF4-FFF2-40B4-BE49-F238E27FC236}">
              <a16:creationId xmlns:a16="http://schemas.microsoft.com/office/drawing/2014/main" id="{8720FA47-3B11-49E3-AFD0-3EE8ECBF31AE}"/>
            </a:ext>
          </a:extLst>
        </xdr:cNvPr>
        <xdr:cNvSpPr txBox="1"/>
      </xdr:nvSpPr>
      <xdr:spPr>
        <a:xfrm>
          <a:off x="311150" y="12217400"/>
          <a:ext cx="965200" cy="2222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n-GB" sz="1050">
              <a:latin typeface="Abadi" panose="020B0604020104020204" pitchFamily="34" charset="0"/>
            </a:rPr>
            <a:t>Supply 2:</a:t>
          </a:r>
          <a:endParaRPr lang="en-NG" sz="1050">
            <a:latin typeface="Abadi" panose="020B0604020104020204" pitchFamily="34" charset="0"/>
          </a:endParaRPr>
        </a:p>
      </xdr:txBody>
    </xdr:sp>
    <xdr:clientData/>
  </xdr:twoCellAnchor>
  <xdr:twoCellAnchor>
    <xdr:from>
      <xdr:col>0</xdr:col>
      <xdr:colOff>311150</xdr:colOff>
      <xdr:row>53</xdr:row>
      <xdr:rowOff>196850</xdr:rowOff>
    </xdr:from>
    <xdr:to>
      <xdr:col>1</xdr:col>
      <xdr:colOff>615950</xdr:colOff>
      <xdr:row>55</xdr:row>
      <xdr:rowOff>0</xdr:rowOff>
    </xdr:to>
    <xdr:sp macro="" textlink="">
      <xdr:nvSpPr>
        <xdr:cNvPr id="51" name="TextBox 50">
          <a:extLst>
            <a:ext uri="{FF2B5EF4-FFF2-40B4-BE49-F238E27FC236}">
              <a16:creationId xmlns:a16="http://schemas.microsoft.com/office/drawing/2014/main" id="{570DD01E-CD82-4808-8C53-75663DAAB5A9}"/>
            </a:ext>
          </a:extLst>
        </xdr:cNvPr>
        <xdr:cNvSpPr txBox="1"/>
      </xdr:nvSpPr>
      <xdr:spPr>
        <a:xfrm>
          <a:off x="311150" y="12426950"/>
          <a:ext cx="965200" cy="2222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n-GB" sz="1050">
              <a:latin typeface="Abadi" panose="020B0604020104020204" pitchFamily="34" charset="0"/>
            </a:rPr>
            <a:t>Supply 3:</a:t>
          </a:r>
          <a:endParaRPr lang="en-NG" sz="1050">
            <a:latin typeface="Abadi" panose="020B0604020104020204" pitchFamily="34" charset="0"/>
          </a:endParaRPr>
        </a:p>
      </xdr:txBody>
    </xdr:sp>
    <xdr:clientData/>
  </xdr:twoCellAnchor>
  <xdr:twoCellAnchor>
    <xdr:from>
      <xdr:col>1</xdr:col>
      <xdr:colOff>546100</xdr:colOff>
      <xdr:row>50</xdr:row>
      <xdr:rowOff>107950</xdr:rowOff>
    </xdr:from>
    <xdr:to>
      <xdr:col>3</xdr:col>
      <xdr:colOff>158750</xdr:colOff>
      <xdr:row>52</xdr:row>
      <xdr:rowOff>38100</xdr:rowOff>
    </xdr:to>
    <xdr:sp macro="" textlink="">
      <xdr:nvSpPr>
        <xdr:cNvPr id="52" name="TextBox 51">
          <a:extLst>
            <a:ext uri="{FF2B5EF4-FFF2-40B4-BE49-F238E27FC236}">
              <a16:creationId xmlns:a16="http://schemas.microsoft.com/office/drawing/2014/main" id="{94A9A058-BA4F-40F3-81E3-08BF81C57893}"/>
            </a:ext>
          </a:extLst>
        </xdr:cNvPr>
        <xdr:cNvSpPr txBox="1"/>
      </xdr:nvSpPr>
      <xdr:spPr>
        <a:xfrm>
          <a:off x="1206500" y="11722100"/>
          <a:ext cx="1009650" cy="336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n-GB" sz="1050">
              <a:latin typeface="Abadi" panose="020B0604020104020204" pitchFamily="34" charset="0"/>
            </a:rPr>
            <a:t>Capacity (kVA)</a:t>
          </a:r>
          <a:endParaRPr lang="en-NG" sz="1050">
            <a:latin typeface="Abadi" panose="020B0604020104020204" pitchFamily="34" charset="0"/>
          </a:endParaRPr>
        </a:p>
      </xdr:txBody>
    </xdr:sp>
    <xdr:clientData/>
  </xdr:twoCellAnchor>
  <xdr:twoCellAnchor>
    <xdr:from>
      <xdr:col>3</xdr:col>
      <xdr:colOff>533400</xdr:colOff>
      <xdr:row>50</xdr:row>
      <xdr:rowOff>107950</xdr:rowOff>
    </xdr:from>
    <xdr:to>
      <xdr:col>5</xdr:col>
      <xdr:colOff>127000</xdr:colOff>
      <xdr:row>52</xdr:row>
      <xdr:rowOff>38100</xdr:rowOff>
    </xdr:to>
    <xdr:sp macro="" textlink="">
      <xdr:nvSpPr>
        <xdr:cNvPr id="53" name="TextBox 52">
          <a:extLst>
            <a:ext uri="{FF2B5EF4-FFF2-40B4-BE49-F238E27FC236}">
              <a16:creationId xmlns:a16="http://schemas.microsoft.com/office/drawing/2014/main" id="{0FB107FA-DFE4-4A0A-991D-E9F10CC73AA8}"/>
            </a:ext>
          </a:extLst>
        </xdr:cNvPr>
        <xdr:cNvSpPr txBox="1"/>
      </xdr:nvSpPr>
      <xdr:spPr>
        <a:xfrm>
          <a:off x="2590800" y="11722100"/>
          <a:ext cx="1009650" cy="336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n-GB" sz="1050">
              <a:solidFill>
                <a:srgbClr val="FF0000"/>
              </a:solidFill>
              <a:latin typeface="Abadi" panose="020B0604020104020204" pitchFamily="34" charset="0"/>
            </a:rPr>
            <a:t>Make (Brands)</a:t>
          </a:r>
          <a:endParaRPr lang="en-NG" sz="1050">
            <a:solidFill>
              <a:srgbClr val="FF0000"/>
            </a:solidFill>
            <a:latin typeface="Abadi" panose="020B0604020104020204" pitchFamily="34" charset="0"/>
          </a:endParaRPr>
        </a:p>
      </xdr:txBody>
    </xdr:sp>
    <xdr:clientData/>
  </xdr:twoCellAnchor>
  <xdr:twoCellAnchor>
    <xdr:from>
      <xdr:col>5</xdr:col>
      <xdr:colOff>635000</xdr:colOff>
      <xdr:row>50</xdr:row>
      <xdr:rowOff>76200</xdr:rowOff>
    </xdr:from>
    <xdr:to>
      <xdr:col>7</xdr:col>
      <xdr:colOff>25400</xdr:colOff>
      <xdr:row>52</xdr:row>
      <xdr:rowOff>6350</xdr:rowOff>
    </xdr:to>
    <xdr:sp macro="" textlink="">
      <xdr:nvSpPr>
        <xdr:cNvPr id="54" name="TextBox 53">
          <a:extLst>
            <a:ext uri="{FF2B5EF4-FFF2-40B4-BE49-F238E27FC236}">
              <a16:creationId xmlns:a16="http://schemas.microsoft.com/office/drawing/2014/main" id="{48A45E63-3F11-4802-BD4E-6946B3792E17}"/>
            </a:ext>
          </a:extLst>
        </xdr:cNvPr>
        <xdr:cNvSpPr txBox="1"/>
      </xdr:nvSpPr>
      <xdr:spPr>
        <a:xfrm>
          <a:off x="4108450" y="11690350"/>
          <a:ext cx="793750" cy="336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n-GB" sz="1050">
              <a:latin typeface="Abadi" panose="020B0604020104020204" pitchFamily="34" charset="0"/>
            </a:rPr>
            <a:t>Fuel Types</a:t>
          </a:r>
          <a:endParaRPr lang="en-NG" sz="1050">
            <a:latin typeface="Abadi" panose="020B0604020104020204" pitchFamily="34" charset="0"/>
          </a:endParaRPr>
        </a:p>
      </xdr:txBody>
    </xdr:sp>
    <xdr:clientData/>
  </xdr:twoCellAnchor>
  <xdr:twoCellAnchor>
    <xdr:from>
      <xdr:col>8</xdr:col>
      <xdr:colOff>552450</xdr:colOff>
      <xdr:row>50</xdr:row>
      <xdr:rowOff>69850</xdr:rowOff>
    </xdr:from>
    <xdr:to>
      <xdr:col>11</xdr:col>
      <xdr:colOff>19050</xdr:colOff>
      <xdr:row>52</xdr:row>
      <xdr:rowOff>0</xdr:rowOff>
    </xdr:to>
    <xdr:sp macro="" textlink="">
      <xdr:nvSpPr>
        <xdr:cNvPr id="55" name="TextBox 54">
          <a:extLst>
            <a:ext uri="{FF2B5EF4-FFF2-40B4-BE49-F238E27FC236}">
              <a16:creationId xmlns:a16="http://schemas.microsoft.com/office/drawing/2014/main" id="{9F016CEA-6CE2-4AC5-BB22-A8E373B6ED78}"/>
            </a:ext>
          </a:extLst>
        </xdr:cNvPr>
        <xdr:cNvSpPr txBox="1"/>
      </xdr:nvSpPr>
      <xdr:spPr>
        <a:xfrm>
          <a:off x="5549900" y="11684000"/>
          <a:ext cx="1079500" cy="336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n-GB" sz="1050">
              <a:latin typeface="Abadi" panose="020B0604020104020204" pitchFamily="34" charset="0"/>
            </a:rPr>
            <a:t>Total Run Time</a:t>
          </a:r>
          <a:endParaRPr lang="en-NG" sz="1050">
            <a:latin typeface="Abadi" panose="020B0604020104020204" pitchFamily="34" charset="0"/>
          </a:endParaRPr>
        </a:p>
      </xdr:txBody>
    </xdr:sp>
    <xdr:clientData/>
  </xdr:twoCellAnchor>
  <xdr:twoCellAnchor>
    <xdr:from>
      <xdr:col>5</xdr:col>
      <xdr:colOff>336550</xdr:colOff>
      <xdr:row>48</xdr:row>
      <xdr:rowOff>82550</xdr:rowOff>
    </xdr:from>
    <xdr:to>
      <xdr:col>7</xdr:col>
      <xdr:colOff>82550</xdr:colOff>
      <xdr:row>50</xdr:row>
      <xdr:rowOff>107950</xdr:rowOff>
    </xdr:to>
    <xdr:sp macro="" textlink="">
      <xdr:nvSpPr>
        <xdr:cNvPr id="56" name="TextBox 55">
          <a:extLst>
            <a:ext uri="{FF2B5EF4-FFF2-40B4-BE49-F238E27FC236}">
              <a16:creationId xmlns:a16="http://schemas.microsoft.com/office/drawing/2014/main" id="{85B33A5D-6B1A-455A-B9BC-7448C1FDC8AB}"/>
            </a:ext>
          </a:extLst>
        </xdr:cNvPr>
        <xdr:cNvSpPr txBox="1"/>
      </xdr:nvSpPr>
      <xdr:spPr>
        <a:xfrm>
          <a:off x="3810000" y="11283950"/>
          <a:ext cx="1149350" cy="438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n-GB" sz="1050">
              <a:latin typeface="Abadi" panose="020B0604020104020204" pitchFamily="34" charset="0"/>
            </a:rPr>
            <a:t>Grid Tie-in</a:t>
          </a:r>
          <a:r>
            <a:rPr lang="en-GB" sz="1050" baseline="0">
              <a:latin typeface="Abadi" panose="020B0604020104020204" pitchFamily="34" charset="0"/>
            </a:rPr>
            <a:t> Voltage</a:t>
          </a:r>
          <a:r>
            <a:rPr lang="en-GB" sz="1050">
              <a:latin typeface="Abadi" panose="020B0604020104020204" pitchFamily="34" charset="0"/>
            </a:rPr>
            <a:t>:</a:t>
          </a:r>
          <a:endParaRPr lang="en-NG" sz="1050">
            <a:latin typeface="Abadi" panose="020B0604020104020204" pitchFamily="34" charset="0"/>
          </a:endParaRPr>
        </a:p>
      </xdr:txBody>
    </xdr:sp>
    <xdr:clientData/>
  </xdr:twoCellAnchor>
  <xdr:twoCellAnchor>
    <xdr:from>
      <xdr:col>0</xdr:col>
      <xdr:colOff>463550</xdr:colOff>
      <xdr:row>47</xdr:row>
      <xdr:rowOff>82550</xdr:rowOff>
    </xdr:from>
    <xdr:to>
      <xdr:col>3</xdr:col>
      <xdr:colOff>242150</xdr:colOff>
      <xdr:row>48</xdr:row>
      <xdr:rowOff>101700</xdr:rowOff>
    </xdr:to>
    <xdr:sp macro="" textlink="">
      <xdr:nvSpPr>
        <xdr:cNvPr id="57" name="TextBox 56">
          <a:extLst>
            <a:ext uri="{FF2B5EF4-FFF2-40B4-BE49-F238E27FC236}">
              <a16:creationId xmlns:a16="http://schemas.microsoft.com/office/drawing/2014/main" id="{6094E4CC-5C5C-46E7-90D4-705C24B138D7}"/>
            </a:ext>
          </a:extLst>
        </xdr:cNvPr>
        <xdr:cNvSpPr txBox="1"/>
      </xdr:nvSpPr>
      <xdr:spPr>
        <a:xfrm>
          <a:off x="463550" y="11087100"/>
          <a:ext cx="1836000" cy="216000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GB" sz="1050" b="1">
              <a:solidFill>
                <a:srgbClr val="002060"/>
              </a:solidFill>
              <a:latin typeface="Century Gothic" panose="020B0502020202020204" pitchFamily="34" charset="0"/>
            </a:rPr>
            <a:t>Grid Power Supply</a:t>
          </a:r>
          <a:endParaRPr lang="en-NG" sz="1050" b="1">
            <a:solidFill>
              <a:srgbClr val="002060"/>
            </a:solidFill>
            <a:latin typeface="Century Gothic" panose="020B0502020202020204" pitchFamily="34" charset="0"/>
          </a:endParaRPr>
        </a:p>
      </xdr:txBody>
    </xdr:sp>
    <xdr:clientData/>
  </xdr:twoCellAnchor>
  <xdr:twoCellAnchor>
    <xdr:from>
      <xdr:col>0</xdr:col>
      <xdr:colOff>463550</xdr:colOff>
      <xdr:row>55</xdr:row>
      <xdr:rowOff>114300</xdr:rowOff>
    </xdr:from>
    <xdr:to>
      <xdr:col>1</xdr:col>
      <xdr:colOff>647700</xdr:colOff>
      <xdr:row>57</xdr:row>
      <xdr:rowOff>101600</xdr:rowOff>
    </xdr:to>
    <xdr:sp macro="" textlink="">
      <xdr:nvSpPr>
        <xdr:cNvPr id="58" name="TextBox 57">
          <a:extLst>
            <a:ext uri="{FF2B5EF4-FFF2-40B4-BE49-F238E27FC236}">
              <a16:creationId xmlns:a16="http://schemas.microsoft.com/office/drawing/2014/main" id="{9DAA7E87-C524-4322-A3C1-7C24D22E6577}"/>
            </a:ext>
          </a:extLst>
        </xdr:cNvPr>
        <xdr:cNvSpPr txBox="1"/>
      </xdr:nvSpPr>
      <xdr:spPr>
        <a:xfrm>
          <a:off x="463550" y="12763500"/>
          <a:ext cx="844550" cy="406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n-GB" sz="1050">
              <a:latin typeface="Abadi" panose="020B0604020104020204" pitchFamily="34" charset="0"/>
            </a:rPr>
            <a:t>Night</a:t>
          </a:r>
        </a:p>
        <a:p>
          <a:pPr algn="r"/>
          <a:r>
            <a:rPr lang="en-GB" sz="1050">
              <a:latin typeface="Abadi" panose="020B0604020104020204" pitchFamily="34" charset="0"/>
            </a:rPr>
            <a:t>Operation:</a:t>
          </a:r>
          <a:endParaRPr lang="en-NG" sz="1050">
            <a:latin typeface="Abadi" panose="020B0604020104020204" pitchFamily="34" charset="0"/>
          </a:endParaRPr>
        </a:p>
      </xdr:txBody>
    </xdr:sp>
    <xdr:clientData/>
  </xdr:twoCellAnchor>
  <xdr:twoCellAnchor>
    <xdr:from>
      <xdr:col>3</xdr:col>
      <xdr:colOff>615950</xdr:colOff>
      <xdr:row>55</xdr:row>
      <xdr:rowOff>95250</xdr:rowOff>
    </xdr:from>
    <xdr:to>
      <xdr:col>5</xdr:col>
      <xdr:colOff>50800</xdr:colOff>
      <xdr:row>57</xdr:row>
      <xdr:rowOff>82550</xdr:rowOff>
    </xdr:to>
    <xdr:sp macro="" textlink="">
      <xdr:nvSpPr>
        <xdr:cNvPr id="59" name="TextBox 58">
          <a:extLst>
            <a:ext uri="{FF2B5EF4-FFF2-40B4-BE49-F238E27FC236}">
              <a16:creationId xmlns:a16="http://schemas.microsoft.com/office/drawing/2014/main" id="{D2A48835-F986-42AF-B898-03BC3D6ECBEB}"/>
            </a:ext>
          </a:extLst>
        </xdr:cNvPr>
        <xdr:cNvSpPr txBox="1"/>
      </xdr:nvSpPr>
      <xdr:spPr>
        <a:xfrm>
          <a:off x="2673350" y="12744450"/>
          <a:ext cx="850900" cy="406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n-GB" sz="1050">
              <a:latin typeface="Abadi" panose="020B0604020104020204" pitchFamily="34" charset="0"/>
            </a:rPr>
            <a:t>Weekend</a:t>
          </a:r>
        </a:p>
        <a:p>
          <a:pPr algn="r"/>
          <a:r>
            <a:rPr lang="en-GB" sz="1050">
              <a:latin typeface="Abadi" panose="020B0604020104020204" pitchFamily="34" charset="0"/>
            </a:rPr>
            <a:t>Operation:</a:t>
          </a:r>
          <a:endParaRPr lang="en-NG" sz="1050">
            <a:latin typeface="Abadi" panose="020B0604020104020204" pitchFamily="34" charset="0"/>
          </a:endParaRPr>
        </a:p>
      </xdr:txBody>
    </xdr:sp>
    <xdr:clientData/>
  </xdr:twoCellAnchor>
  <xdr:twoCellAnchor>
    <xdr:from>
      <xdr:col>6</xdr:col>
      <xdr:colOff>412750</xdr:colOff>
      <xdr:row>55</xdr:row>
      <xdr:rowOff>114300</xdr:rowOff>
    </xdr:from>
    <xdr:to>
      <xdr:col>9</xdr:col>
      <xdr:colOff>38100</xdr:colOff>
      <xdr:row>57</xdr:row>
      <xdr:rowOff>101600</xdr:rowOff>
    </xdr:to>
    <xdr:sp macro="" textlink="">
      <xdr:nvSpPr>
        <xdr:cNvPr id="60" name="TextBox 59">
          <a:extLst>
            <a:ext uri="{FF2B5EF4-FFF2-40B4-BE49-F238E27FC236}">
              <a16:creationId xmlns:a16="http://schemas.microsoft.com/office/drawing/2014/main" id="{1FECF88A-4F5C-40B5-8F08-75D5B6A1CF30}"/>
            </a:ext>
          </a:extLst>
        </xdr:cNvPr>
        <xdr:cNvSpPr txBox="1"/>
      </xdr:nvSpPr>
      <xdr:spPr>
        <a:xfrm>
          <a:off x="4546600" y="12763500"/>
          <a:ext cx="1149350" cy="406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n-GB" sz="1050">
              <a:latin typeface="Abadi" panose="020B0604020104020204" pitchFamily="34" charset="0"/>
            </a:rPr>
            <a:t>Average Daily</a:t>
          </a:r>
          <a:r>
            <a:rPr lang="en-GB" sz="1050" baseline="0">
              <a:latin typeface="Abadi" panose="020B0604020104020204" pitchFamily="34" charset="0"/>
            </a:rPr>
            <a:t> Availability</a:t>
          </a:r>
          <a:r>
            <a:rPr lang="en-GB" sz="1050">
              <a:latin typeface="Abadi" panose="020B0604020104020204" pitchFamily="34" charset="0"/>
            </a:rPr>
            <a:t>:</a:t>
          </a:r>
          <a:endParaRPr lang="en-NG" sz="1050">
            <a:latin typeface="Abadi" panose="020B0604020104020204" pitchFamily="34" charset="0"/>
          </a:endParaRPr>
        </a:p>
      </xdr:txBody>
    </xdr:sp>
    <xdr:clientData/>
  </xdr:twoCellAnchor>
  <xdr:twoCellAnchor>
    <xdr:from>
      <xdr:col>0</xdr:col>
      <xdr:colOff>285750</xdr:colOff>
      <xdr:row>57</xdr:row>
      <xdr:rowOff>196850</xdr:rowOff>
    </xdr:from>
    <xdr:to>
      <xdr:col>9</xdr:col>
      <xdr:colOff>891900</xdr:colOff>
      <xdr:row>58</xdr:row>
      <xdr:rowOff>173650</xdr:rowOff>
    </xdr:to>
    <xdr:sp macro="" textlink="">
      <xdr:nvSpPr>
        <xdr:cNvPr id="61" name="TextBox 60">
          <a:extLst>
            <a:ext uri="{FF2B5EF4-FFF2-40B4-BE49-F238E27FC236}">
              <a16:creationId xmlns:a16="http://schemas.microsoft.com/office/drawing/2014/main" id="{3645B5B3-3E79-4AC8-83A8-817735D05BCA}"/>
            </a:ext>
          </a:extLst>
        </xdr:cNvPr>
        <xdr:cNvSpPr txBox="1"/>
      </xdr:nvSpPr>
      <xdr:spPr>
        <a:xfrm>
          <a:off x="285750" y="13265150"/>
          <a:ext cx="6264000" cy="180000"/>
        </a:xfrm>
        <a:prstGeom prst="rect">
          <a:avLst/>
        </a:prstGeom>
        <a:solidFill>
          <a:srgbClr val="00206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GB" sz="1050" b="1">
              <a:solidFill>
                <a:schemeClr val="bg1"/>
              </a:solidFill>
              <a:latin typeface="Century Gothic" panose="020B0502020202020204" pitchFamily="34" charset="0"/>
            </a:rPr>
            <a:t>EXPENDITURE ON ENERGY</a:t>
          </a:r>
          <a:endParaRPr lang="en-NG" sz="1050" b="1">
            <a:solidFill>
              <a:schemeClr val="bg1"/>
            </a:solidFill>
            <a:latin typeface="Century Gothic" panose="020B0502020202020204" pitchFamily="34" charset="0"/>
          </a:endParaRPr>
        </a:p>
      </xdr:txBody>
    </xdr:sp>
    <xdr:clientData/>
  </xdr:twoCellAnchor>
  <xdr:twoCellAnchor>
    <xdr:from>
      <xdr:col>0</xdr:col>
      <xdr:colOff>387350</xdr:colOff>
      <xdr:row>59</xdr:row>
      <xdr:rowOff>95250</xdr:rowOff>
    </xdr:from>
    <xdr:to>
      <xdr:col>3</xdr:col>
      <xdr:colOff>165950</xdr:colOff>
      <xdr:row>60</xdr:row>
      <xdr:rowOff>114400</xdr:rowOff>
    </xdr:to>
    <xdr:sp macro="" textlink="">
      <xdr:nvSpPr>
        <xdr:cNvPr id="62" name="TextBox 61">
          <a:extLst>
            <a:ext uri="{FF2B5EF4-FFF2-40B4-BE49-F238E27FC236}">
              <a16:creationId xmlns:a16="http://schemas.microsoft.com/office/drawing/2014/main" id="{BA87A2C3-6337-4AB6-8D91-B5E9560E11E0}"/>
            </a:ext>
          </a:extLst>
        </xdr:cNvPr>
        <xdr:cNvSpPr txBox="1"/>
      </xdr:nvSpPr>
      <xdr:spPr>
        <a:xfrm>
          <a:off x="387350" y="13563600"/>
          <a:ext cx="1836000" cy="216000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GB" sz="1050" b="1">
              <a:solidFill>
                <a:srgbClr val="002060"/>
              </a:solidFill>
              <a:latin typeface="Century Gothic" panose="020B0502020202020204" pitchFamily="34" charset="0"/>
            </a:rPr>
            <a:t>Generator Power Supply</a:t>
          </a:r>
          <a:endParaRPr lang="en-NG" sz="1050" b="1">
            <a:solidFill>
              <a:srgbClr val="002060"/>
            </a:solidFill>
            <a:latin typeface="Century Gothic" panose="020B0502020202020204" pitchFamily="34" charset="0"/>
          </a:endParaRPr>
        </a:p>
      </xdr:txBody>
    </xdr:sp>
    <xdr:clientData/>
  </xdr:twoCellAnchor>
  <xdr:twoCellAnchor>
    <xdr:from>
      <xdr:col>1</xdr:col>
      <xdr:colOff>431800</xdr:colOff>
      <xdr:row>60</xdr:row>
      <xdr:rowOff>158750</xdr:rowOff>
    </xdr:from>
    <xdr:to>
      <xdr:col>3</xdr:col>
      <xdr:colOff>228600</xdr:colOff>
      <xdr:row>62</xdr:row>
      <xdr:rowOff>158750</xdr:rowOff>
    </xdr:to>
    <xdr:sp macro="" textlink="">
      <xdr:nvSpPr>
        <xdr:cNvPr id="63" name="TextBox 62">
          <a:extLst>
            <a:ext uri="{FF2B5EF4-FFF2-40B4-BE49-F238E27FC236}">
              <a16:creationId xmlns:a16="http://schemas.microsoft.com/office/drawing/2014/main" id="{4E2C8000-0A80-4ECF-A21F-FF6E030AC89E}"/>
            </a:ext>
          </a:extLst>
        </xdr:cNvPr>
        <xdr:cNvSpPr txBox="1"/>
      </xdr:nvSpPr>
      <xdr:spPr>
        <a:xfrm>
          <a:off x="1092200" y="13823950"/>
          <a:ext cx="1193800" cy="393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050">
              <a:latin typeface="Abadi" panose="020B0604020104020204" pitchFamily="34" charset="0"/>
            </a:rPr>
            <a:t>Volume of Fuel</a:t>
          </a:r>
        </a:p>
        <a:p>
          <a:pPr algn="ctr"/>
          <a:r>
            <a:rPr lang="en-GB" sz="1050">
              <a:latin typeface="Abadi" panose="020B0604020104020204" pitchFamily="34" charset="0"/>
            </a:rPr>
            <a:t>Supplied in</a:t>
          </a:r>
          <a:r>
            <a:rPr lang="en-GB" sz="1050" baseline="0">
              <a:latin typeface="Abadi" panose="020B0604020104020204" pitchFamily="34" charset="0"/>
            </a:rPr>
            <a:t> </a:t>
          </a:r>
          <a:r>
            <a:rPr lang="en-GB" sz="1050">
              <a:latin typeface="Abadi" panose="020B0604020104020204" pitchFamily="34" charset="0"/>
            </a:rPr>
            <a:t>Litres</a:t>
          </a:r>
          <a:endParaRPr lang="en-NG" sz="1050">
            <a:latin typeface="Abadi" panose="020B0604020104020204" pitchFamily="34" charset="0"/>
          </a:endParaRPr>
        </a:p>
      </xdr:txBody>
    </xdr:sp>
    <xdr:clientData/>
  </xdr:twoCellAnchor>
  <xdr:twoCellAnchor>
    <xdr:from>
      <xdr:col>3</xdr:col>
      <xdr:colOff>412750</xdr:colOff>
      <xdr:row>60</xdr:row>
      <xdr:rowOff>158750</xdr:rowOff>
    </xdr:from>
    <xdr:to>
      <xdr:col>5</xdr:col>
      <xdr:colOff>298450</xdr:colOff>
      <xdr:row>62</xdr:row>
      <xdr:rowOff>158750</xdr:rowOff>
    </xdr:to>
    <xdr:sp macro="" textlink="">
      <xdr:nvSpPr>
        <xdr:cNvPr id="64" name="TextBox 63">
          <a:extLst>
            <a:ext uri="{FF2B5EF4-FFF2-40B4-BE49-F238E27FC236}">
              <a16:creationId xmlns:a16="http://schemas.microsoft.com/office/drawing/2014/main" id="{887280F9-2EA5-4698-905A-8C6A8A7EBABF}"/>
            </a:ext>
          </a:extLst>
        </xdr:cNvPr>
        <xdr:cNvSpPr txBox="1"/>
      </xdr:nvSpPr>
      <xdr:spPr>
        <a:xfrm>
          <a:off x="2470150" y="13823950"/>
          <a:ext cx="1301750" cy="393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050">
              <a:latin typeface="Abadi" panose="020B0604020104020204" pitchFamily="34" charset="0"/>
            </a:rPr>
            <a:t>Volume of Fuel</a:t>
          </a:r>
        </a:p>
        <a:p>
          <a:pPr algn="ctr"/>
          <a:r>
            <a:rPr lang="en-GB" sz="1050">
              <a:latin typeface="Abadi" panose="020B0604020104020204" pitchFamily="34" charset="0"/>
            </a:rPr>
            <a:t>Consumed in</a:t>
          </a:r>
          <a:r>
            <a:rPr lang="en-GB" sz="1050" baseline="0">
              <a:latin typeface="Abadi" panose="020B0604020104020204" pitchFamily="34" charset="0"/>
            </a:rPr>
            <a:t> </a:t>
          </a:r>
          <a:r>
            <a:rPr lang="en-GB" sz="1050">
              <a:latin typeface="Abadi" panose="020B0604020104020204" pitchFamily="34" charset="0"/>
            </a:rPr>
            <a:t>Litres</a:t>
          </a:r>
          <a:endParaRPr lang="en-NG" sz="1050">
            <a:latin typeface="Abadi" panose="020B0604020104020204" pitchFamily="34" charset="0"/>
          </a:endParaRPr>
        </a:p>
      </xdr:txBody>
    </xdr:sp>
    <xdr:clientData/>
  </xdr:twoCellAnchor>
  <xdr:twoCellAnchor>
    <xdr:from>
      <xdr:col>5</xdr:col>
      <xdr:colOff>349250</xdr:colOff>
      <xdr:row>60</xdr:row>
      <xdr:rowOff>146050</xdr:rowOff>
    </xdr:from>
    <xdr:to>
      <xdr:col>8</xdr:col>
      <xdr:colOff>127000</xdr:colOff>
      <xdr:row>62</xdr:row>
      <xdr:rowOff>146050</xdr:rowOff>
    </xdr:to>
    <xdr:sp macro="" textlink="">
      <xdr:nvSpPr>
        <xdr:cNvPr id="65" name="TextBox 64">
          <a:extLst>
            <a:ext uri="{FF2B5EF4-FFF2-40B4-BE49-F238E27FC236}">
              <a16:creationId xmlns:a16="http://schemas.microsoft.com/office/drawing/2014/main" id="{55523E6B-C3A3-4CA7-A233-429E3B61122C}"/>
            </a:ext>
          </a:extLst>
        </xdr:cNvPr>
        <xdr:cNvSpPr txBox="1"/>
      </xdr:nvSpPr>
      <xdr:spPr>
        <a:xfrm>
          <a:off x="3822700" y="13811250"/>
          <a:ext cx="1301750" cy="393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050">
              <a:latin typeface="Abadi" panose="020B0604020104020204" pitchFamily="34" charset="0"/>
            </a:rPr>
            <a:t>Cost of Fuel</a:t>
          </a:r>
        </a:p>
        <a:p>
          <a:pPr algn="ctr"/>
          <a:r>
            <a:rPr lang="en-GB" sz="1050">
              <a:latin typeface="Abadi" panose="020B0604020104020204" pitchFamily="34" charset="0"/>
            </a:rPr>
            <a:t>per</a:t>
          </a:r>
          <a:r>
            <a:rPr lang="en-GB" sz="1050" baseline="0">
              <a:latin typeface="Abadi" panose="020B0604020104020204" pitchFamily="34" charset="0"/>
            </a:rPr>
            <a:t> </a:t>
          </a:r>
          <a:r>
            <a:rPr lang="en-GB" sz="1050">
              <a:latin typeface="Abadi" panose="020B0604020104020204" pitchFamily="34" charset="0"/>
            </a:rPr>
            <a:t>Litres</a:t>
          </a:r>
          <a:endParaRPr lang="en-NG" sz="1050">
            <a:latin typeface="Abadi" panose="020B0604020104020204" pitchFamily="34" charset="0"/>
          </a:endParaRPr>
        </a:p>
      </xdr:txBody>
    </xdr:sp>
    <xdr:clientData/>
  </xdr:twoCellAnchor>
  <xdr:twoCellAnchor>
    <xdr:from>
      <xdr:col>8</xdr:col>
      <xdr:colOff>158750</xdr:colOff>
      <xdr:row>60</xdr:row>
      <xdr:rowOff>177800</xdr:rowOff>
    </xdr:from>
    <xdr:to>
      <xdr:col>9</xdr:col>
      <xdr:colOff>806450</xdr:colOff>
      <xdr:row>62</xdr:row>
      <xdr:rowOff>177800</xdr:rowOff>
    </xdr:to>
    <xdr:sp macro="" textlink="">
      <xdr:nvSpPr>
        <xdr:cNvPr id="66" name="TextBox 65">
          <a:extLst>
            <a:ext uri="{FF2B5EF4-FFF2-40B4-BE49-F238E27FC236}">
              <a16:creationId xmlns:a16="http://schemas.microsoft.com/office/drawing/2014/main" id="{1AAF5273-29E7-4ABE-ABB1-07A4F59F55A6}"/>
            </a:ext>
          </a:extLst>
        </xdr:cNvPr>
        <xdr:cNvSpPr txBox="1"/>
      </xdr:nvSpPr>
      <xdr:spPr>
        <a:xfrm>
          <a:off x="5156200" y="13843000"/>
          <a:ext cx="1308100" cy="393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050">
              <a:latin typeface="Abadi" panose="020B0604020104020204" pitchFamily="34" charset="0"/>
            </a:rPr>
            <a:t>Cost of Fuel</a:t>
          </a:r>
        </a:p>
        <a:p>
          <a:pPr algn="ctr"/>
          <a:r>
            <a:rPr lang="en-GB" sz="1050">
              <a:latin typeface="Abadi" panose="020B0604020104020204" pitchFamily="34" charset="0"/>
            </a:rPr>
            <a:t>per</a:t>
          </a:r>
          <a:r>
            <a:rPr lang="en-GB" sz="1050" baseline="0">
              <a:latin typeface="Abadi" panose="020B0604020104020204" pitchFamily="34" charset="0"/>
            </a:rPr>
            <a:t> </a:t>
          </a:r>
          <a:r>
            <a:rPr lang="en-GB" sz="1050">
              <a:latin typeface="Abadi" panose="020B0604020104020204" pitchFamily="34" charset="0"/>
            </a:rPr>
            <a:t>Month</a:t>
          </a:r>
          <a:endParaRPr lang="en-NG" sz="1050">
            <a:latin typeface="Abadi" panose="020B0604020104020204" pitchFamily="34" charset="0"/>
          </a:endParaRPr>
        </a:p>
      </xdr:txBody>
    </xdr:sp>
    <xdr:clientData/>
  </xdr:twoCellAnchor>
  <xdr:twoCellAnchor>
    <xdr:from>
      <xdr:col>0</xdr:col>
      <xdr:colOff>596900</xdr:colOff>
      <xdr:row>61</xdr:row>
      <xdr:rowOff>88900</xdr:rowOff>
    </xdr:from>
    <xdr:to>
      <xdr:col>1</xdr:col>
      <xdr:colOff>647700</xdr:colOff>
      <xdr:row>62</xdr:row>
      <xdr:rowOff>114300</xdr:rowOff>
    </xdr:to>
    <xdr:sp macro="" textlink="">
      <xdr:nvSpPr>
        <xdr:cNvPr id="67" name="TextBox 66">
          <a:extLst>
            <a:ext uri="{FF2B5EF4-FFF2-40B4-BE49-F238E27FC236}">
              <a16:creationId xmlns:a16="http://schemas.microsoft.com/office/drawing/2014/main" id="{5DFCCEF8-FE80-4DD3-BDD7-D1C3531A60CE}"/>
            </a:ext>
          </a:extLst>
        </xdr:cNvPr>
        <xdr:cNvSpPr txBox="1"/>
      </xdr:nvSpPr>
      <xdr:spPr>
        <a:xfrm>
          <a:off x="596900" y="13950950"/>
          <a:ext cx="711200" cy="2222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050">
              <a:latin typeface="Abadi" panose="020B0604020104020204" pitchFamily="34" charset="0"/>
            </a:rPr>
            <a:t>Dates</a:t>
          </a:r>
          <a:endParaRPr lang="en-NG" sz="1050">
            <a:latin typeface="Abadi" panose="020B0604020104020204" pitchFamily="34" charset="0"/>
          </a:endParaRPr>
        </a:p>
      </xdr:txBody>
    </xdr:sp>
    <xdr:clientData/>
  </xdr:twoCellAnchor>
  <xdr:twoCellAnchor>
    <xdr:from>
      <xdr:col>0</xdr:col>
      <xdr:colOff>387350</xdr:colOff>
      <xdr:row>72</xdr:row>
      <xdr:rowOff>19050</xdr:rowOff>
    </xdr:from>
    <xdr:to>
      <xdr:col>3</xdr:col>
      <xdr:colOff>165950</xdr:colOff>
      <xdr:row>73</xdr:row>
      <xdr:rowOff>44550</xdr:rowOff>
    </xdr:to>
    <xdr:sp macro="" textlink="">
      <xdr:nvSpPr>
        <xdr:cNvPr id="68" name="TextBox 67">
          <a:extLst>
            <a:ext uri="{FF2B5EF4-FFF2-40B4-BE49-F238E27FC236}">
              <a16:creationId xmlns:a16="http://schemas.microsoft.com/office/drawing/2014/main" id="{00FB8BFF-DA21-4954-ACD8-36390F6CFC79}"/>
            </a:ext>
          </a:extLst>
        </xdr:cNvPr>
        <xdr:cNvSpPr txBox="1"/>
      </xdr:nvSpPr>
      <xdr:spPr>
        <a:xfrm>
          <a:off x="387350" y="16160750"/>
          <a:ext cx="1836000" cy="222350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GB" sz="1050" b="1">
              <a:solidFill>
                <a:srgbClr val="002060"/>
              </a:solidFill>
              <a:latin typeface="Century Gothic" panose="020B0502020202020204" pitchFamily="34" charset="0"/>
            </a:rPr>
            <a:t>Grid Power Supply</a:t>
          </a:r>
          <a:endParaRPr lang="en-NG" sz="1050" b="1">
            <a:solidFill>
              <a:srgbClr val="002060"/>
            </a:solidFill>
            <a:latin typeface="Century Gothic" panose="020B0502020202020204" pitchFamily="34" charset="0"/>
          </a:endParaRPr>
        </a:p>
      </xdr:txBody>
    </xdr:sp>
    <xdr:clientData/>
  </xdr:twoCellAnchor>
  <xdr:twoCellAnchor>
    <xdr:from>
      <xdr:col>1</xdr:col>
      <xdr:colOff>654050</xdr:colOff>
      <xdr:row>73</xdr:row>
      <xdr:rowOff>12700</xdr:rowOff>
    </xdr:from>
    <xdr:to>
      <xdr:col>3</xdr:col>
      <xdr:colOff>38100</xdr:colOff>
      <xdr:row>75</xdr:row>
      <xdr:rowOff>6350</xdr:rowOff>
    </xdr:to>
    <xdr:sp macro="" textlink="">
      <xdr:nvSpPr>
        <xdr:cNvPr id="69" name="TextBox 68">
          <a:extLst>
            <a:ext uri="{FF2B5EF4-FFF2-40B4-BE49-F238E27FC236}">
              <a16:creationId xmlns:a16="http://schemas.microsoft.com/office/drawing/2014/main" id="{3BA3840A-1627-458F-8325-00BE68F578BF}"/>
            </a:ext>
          </a:extLst>
        </xdr:cNvPr>
        <xdr:cNvSpPr txBox="1"/>
      </xdr:nvSpPr>
      <xdr:spPr>
        <a:xfrm>
          <a:off x="1314450" y="16351250"/>
          <a:ext cx="781050" cy="393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050">
              <a:latin typeface="Abadi" panose="020B0604020104020204" pitchFamily="34" charset="0"/>
            </a:rPr>
            <a:t>Units</a:t>
          </a:r>
        </a:p>
        <a:p>
          <a:pPr algn="ctr"/>
          <a:r>
            <a:rPr lang="en-GB" sz="1050">
              <a:latin typeface="Abadi" panose="020B0604020104020204" pitchFamily="34" charset="0"/>
            </a:rPr>
            <a:t>Consumed</a:t>
          </a:r>
          <a:endParaRPr lang="en-NG" sz="1050">
            <a:latin typeface="Abadi" panose="020B0604020104020204" pitchFamily="34" charset="0"/>
          </a:endParaRPr>
        </a:p>
      </xdr:txBody>
    </xdr:sp>
    <xdr:clientData/>
  </xdr:twoCellAnchor>
  <xdr:twoCellAnchor>
    <xdr:from>
      <xdr:col>4</xdr:col>
      <xdr:colOff>139700</xdr:colOff>
      <xdr:row>72</xdr:row>
      <xdr:rowOff>184150</xdr:rowOff>
    </xdr:from>
    <xdr:to>
      <xdr:col>4</xdr:col>
      <xdr:colOff>654050</xdr:colOff>
      <xdr:row>74</xdr:row>
      <xdr:rowOff>184150</xdr:rowOff>
    </xdr:to>
    <xdr:sp macro="" textlink="">
      <xdr:nvSpPr>
        <xdr:cNvPr id="70" name="TextBox 69">
          <a:extLst>
            <a:ext uri="{FF2B5EF4-FFF2-40B4-BE49-F238E27FC236}">
              <a16:creationId xmlns:a16="http://schemas.microsoft.com/office/drawing/2014/main" id="{6B19EBB0-3726-4749-B969-F897424FE03A}"/>
            </a:ext>
          </a:extLst>
        </xdr:cNvPr>
        <xdr:cNvSpPr txBox="1"/>
      </xdr:nvSpPr>
      <xdr:spPr>
        <a:xfrm>
          <a:off x="2857500" y="16325850"/>
          <a:ext cx="514350" cy="393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050">
              <a:latin typeface="Abadi" panose="020B0604020104020204" pitchFamily="34" charset="0"/>
            </a:rPr>
            <a:t>Unit</a:t>
          </a:r>
        </a:p>
        <a:p>
          <a:pPr algn="ctr"/>
          <a:r>
            <a:rPr lang="en-GB" sz="1050">
              <a:latin typeface="Abadi" panose="020B0604020104020204" pitchFamily="34" charset="0"/>
            </a:rPr>
            <a:t>Tariff</a:t>
          </a:r>
          <a:endParaRPr lang="en-NG" sz="1050">
            <a:latin typeface="Abadi" panose="020B0604020104020204" pitchFamily="34" charset="0"/>
          </a:endParaRPr>
        </a:p>
      </xdr:txBody>
    </xdr:sp>
    <xdr:clientData/>
  </xdr:twoCellAnchor>
  <xdr:twoCellAnchor>
    <xdr:from>
      <xdr:col>5</xdr:col>
      <xdr:colOff>577850</xdr:colOff>
      <xdr:row>72</xdr:row>
      <xdr:rowOff>146050</xdr:rowOff>
    </xdr:from>
    <xdr:to>
      <xdr:col>7</xdr:col>
      <xdr:colOff>114300</xdr:colOff>
      <xdr:row>74</xdr:row>
      <xdr:rowOff>146050</xdr:rowOff>
    </xdr:to>
    <xdr:sp macro="" textlink="">
      <xdr:nvSpPr>
        <xdr:cNvPr id="71" name="TextBox 70">
          <a:extLst>
            <a:ext uri="{FF2B5EF4-FFF2-40B4-BE49-F238E27FC236}">
              <a16:creationId xmlns:a16="http://schemas.microsoft.com/office/drawing/2014/main" id="{E8DE4C7A-D683-46C8-A9C6-23F6F3E51B61}"/>
            </a:ext>
          </a:extLst>
        </xdr:cNvPr>
        <xdr:cNvSpPr txBox="1"/>
      </xdr:nvSpPr>
      <xdr:spPr>
        <a:xfrm>
          <a:off x="4051300" y="16287750"/>
          <a:ext cx="939800" cy="393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050">
              <a:latin typeface="Abadi" panose="020B0604020104020204" pitchFamily="34" charset="0"/>
            </a:rPr>
            <a:t>Bill Amount</a:t>
          </a:r>
        </a:p>
        <a:p>
          <a:pPr algn="ctr"/>
          <a:r>
            <a:rPr lang="en-GB" sz="1050">
              <a:latin typeface="Abadi" panose="020B0604020104020204" pitchFamily="34" charset="0"/>
            </a:rPr>
            <a:t>without VAT</a:t>
          </a:r>
          <a:endParaRPr lang="en-NG" sz="1050">
            <a:latin typeface="Abadi" panose="020B0604020104020204" pitchFamily="34" charset="0"/>
          </a:endParaRPr>
        </a:p>
      </xdr:txBody>
    </xdr:sp>
    <xdr:clientData/>
  </xdr:twoCellAnchor>
  <xdr:twoCellAnchor>
    <xdr:from>
      <xdr:col>8</xdr:col>
      <xdr:colOff>355600</xdr:colOff>
      <xdr:row>72</xdr:row>
      <xdr:rowOff>114300</xdr:rowOff>
    </xdr:from>
    <xdr:to>
      <xdr:col>9</xdr:col>
      <xdr:colOff>647700</xdr:colOff>
      <xdr:row>74</xdr:row>
      <xdr:rowOff>158750</xdr:rowOff>
    </xdr:to>
    <xdr:sp macro="" textlink="">
      <xdr:nvSpPr>
        <xdr:cNvPr id="72" name="TextBox 71">
          <a:extLst>
            <a:ext uri="{FF2B5EF4-FFF2-40B4-BE49-F238E27FC236}">
              <a16:creationId xmlns:a16="http://schemas.microsoft.com/office/drawing/2014/main" id="{A97D8BC2-80F7-497E-9587-8B84A0DB02A0}"/>
            </a:ext>
          </a:extLst>
        </xdr:cNvPr>
        <xdr:cNvSpPr txBox="1"/>
      </xdr:nvSpPr>
      <xdr:spPr>
        <a:xfrm>
          <a:off x="5353050" y="16256000"/>
          <a:ext cx="952500" cy="438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Bill Amount</a:t>
          </a:r>
          <a:endParaRPr lang="en-NG" sz="1050">
            <a:effectLst/>
          </a:endParaRPr>
        </a:p>
        <a:p>
          <a:pPr algn="ctr"/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with VAT</a:t>
          </a:r>
          <a:endParaRPr lang="en-NG" sz="1050">
            <a:effectLst/>
          </a:endParaRPr>
        </a:p>
      </xdr:txBody>
    </xdr:sp>
    <xdr:clientData/>
  </xdr:twoCellAnchor>
  <xdr:twoCellAnchor>
    <xdr:from>
      <xdr:col>1</xdr:col>
      <xdr:colOff>25400</xdr:colOff>
      <xdr:row>73</xdr:row>
      <xdr:rowOff>82550</xdr:rowOff>
    </xdr:from>
    <xdr:to>
      <xdr:col>2</xdr:col>
      <xdr:colOff>76200</xdr:colOff>
      <xdr:row>74</xdr:row>
      <xdr:rowOff>107950</xdr:rowOff>
    </xdr:to>
    <xdr:sp macro="" textlink="">
      <xdr:nvSpPr>
        <xdr:cNvPr id="73" name="TextBox 72">
          <a:extLst>
            <a:ext uri="{FF2B5EF4-FFF2-40B4-BE49-F238E27FC236}">
              <a16:creationId xmlns:a16="http://schemas.microsoft.com/office/drawing/2014/main" id="{BA0F75F4-F8AB-4064-9BD7-D69A2EB4232E}"/>
            </a:ext>
          </a:extLst>
        </xdr:cNvPr>
        <xdr:cNvSpPr txBox="1"/>
      </xdr:nvSpPr>
      <xdr:spPr>
        <a:xfrm>
          <a:off x="685800" y="16421100"/>
          <a:ext cx="711200" cy="2222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050">
              <a:latin typeface="Abadi" panose="020B0604020104020204" pitchFamily="34" charset="0"/>
            </a:rPr>
            <a:t>Dates</a:t>
          </a:r>
          <a:endParaRPr lang="en-NG" sz="1050">
            <a:latin typeface="Abadi" panose="020B0604020104020204" pitchFamily="34" charset="0"/>
          </a:endParaRPr>
        </a:p>
      </xdr:txBody>
    </xdr:sp>
    <xdr:clientData/>
  </xdr:twoCellAnchor>
  <xdr:twoCellAnchor>
    <xdr:from>
      <xdr:col>0</xdr:col>
      <xdr:colOff>209550</xdr:colOff>
      <xdr:row>97</xdr:row>
      <xdr:rowOff>95250</xdr:rowOff>
    </xdr:from>
    <xdr:to>
      <xdr:col>9</xdr:col>
      <xdr:colOff>815700</xdr:colOff>
      <xdr:row>98</xdr:row>
      <xdr:rowOff>139700</xdr:rowOff>
    </xdr:to>
    <xdr:sp macro="" textlink="">
      <xdr:nvSpPr>
        <xdr:cNvPr id="74" name="TextBox 73">
          <a:extLst>
            <a:ext uri="{FF2B5EF4-FFF2-40B4-BE49-F238E27FC236}">
              <a16:creationId xmlns:a16="http://schemas.microsoft.com/office/drawing/2014/main" id="{D2BBB67F-7B1A-4EC0-856E-4F6B6CE86457}"/>
            </a:ext>
          </a:extLst>
        </xdr:cNvPr>
        <xdr:cNvSpPr txBox="1"/>
      </xdr:nvSpPr>
      <xdr:spPr>
        <a:xfrm>
          <a:off x="209550" y="21272500"/>
          <a:ext cx="6264000" cy="241300"/>
        </a:xfrm>
        <a:prstGeom prst="rect">
          <a:avLst/>
        </a:prstGeom>
        <a:solidFill>
          <a:srgbClr val="00206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GB" sz="1050" b="1">
              <a:solidFill>
                <a:schemeClr val="bg1"/>
              </a:solidFill>
              <a:latin typeface="Berlin Sans FB Demi" panose="020E0802020502020306" pitchFamily="34" charset="0"/>
            </a:rPr>
            <a:t>LOAD PROFILE </a:t>
          </a:r>
          <a:endParaRPr lang="en-NG" sz="1050" b="1" i="1">
            <a:solidFill>
              <a:schemeClr val="bg1"/>
            </a:solidFill>
            <a:latin typeface="Berlin Sans FB Demi" panose="020E0802020502020306" pitchFamily="34" charset="0"/>
          </a:endParaRPr>
        </a:p>
      </xdr:txBody>
    </xdr:sp>
    <xdr:clientData/>
  </xdr:twoCellAnchor>
  <xdr:twoCellAnchor>
    <xdr:from>
      <xdr:col>1</xdr:col>
      <xdr:colOff>139700</xdr:colOff>
      <xdr:row>100</xdr:row>
      <xdr:rowOff>6350</xdr:rowOff>
    </xdr:from>
    <xdr:to>
      <xdr:col>2</xdr:col>
      <xdr:colOff>55300</xdr:colOff>
      <xdr:row>100</xdr:row>
      <xdr:rowOff>184150</xdr:rowOff>
    </xdr:to>
    <xdr:sp macro="" textlink="">
      <xdr:nvSpPr>
        <xdr:cNvPr id="75" name="TextBox 74">
          <a:extLst>
            <a:ext uri="{FF2B5EF4-FFF2-40B4-BE49-F238E27FC236}">
              <a16:creationId xmlns:a16="http://schemas.microsoft.com/office/drawing/2014/main" id="{3FA937EB-D0BF-42DA-967F-0E25F8474514}"/>
            </a:ext>
          </a:extLst>
        </xdr:cNvPr>
        <xdr:cNvSpPr txBox="1"/>
      </xdr:nvSpPr>
      <xdr:spPr>
        <a:xfrm>
          <a:off x="800100" y="21780500"/>
          <a:ext cx="576000" cy="177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n-GB" sz="1050">
              <a:latin typeface="Abadi" panose="020B0604020104020204" pitchFamily="34" charset="0"/>
            </a:rPr>
            <a:t>Date:</a:t>
          </a:r>
          <a:endParaRPr lang="en-NG" sz="1050">
            <a:latin typeface="Abadi" panose="020B0604020104020204" pitchFamily="34" charset="0"/>
          </a:endParaRPr>
        </a:p>
      </xdr:txBody>
    </xdr:sp>
    <xdr:clientData/>
  </xdr:twoCellAnchor>
  <xdr:twoCellAnchor>
    <xdr:from>
      <xdr:col>5</xdr:col>
      <xdr:colOff>400050</xdr:colOff>
      <xdr:row>99</xdr:row>
      <xdr:rowOff>196850</xdr:rowOff>
    </xdr:from>
    <xdr:to>
      <xdr:col>8</xdr:col>
      <xdr:colOff>25400</xdr:colOff>
      <xdr:row>100</xdr:row>
      <xdr:rowOff>203200</xdr:rowOff>
    </xdr:to>
    <xdr:sp macro="" textlink="">
      <xdr:nvSpPr>
        <xdr:cNvPr id="76" name="TextBox 75">
          <a:extLst>
            <a:ext uri="{FF2B5EF4-FFF2-40B4-BE49-F238E27FC236}">
              <a16:creationId xmlns:a16="http://schemas.microsoft.com/office/drawing/2014/main" id="{D66137E6-FF6D-4B66-8E4D-BA30C425537C}"/>
            </a:ext>
          </a:extLst>
        </xdr:cNvPr>
        <xdr:cNvSpPr txBox="1"/>
      </xdr:nvSpPr>
      <xdr:spPr>
        <a:xfrm>
          <a:off x="3873500" y="21767800"/>
          <a:ext cx="1149350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n-GB" sz="1050">
              <a:latin typeface="Abadi" panose="020B0604020104020204" pitchFamily="34" charset="0"/>
            </a:rPr>
            <a:t>Power Factor:</a:t>
          </a:r>
          <a:endParaRPr lang="en-NG" sz="1050">
            <a:latin typeface="Abadi" panose="020B0604020104020204" pitchFamily="34" charset="0"/>
          </a:endParaRPr>
        </a:p>
      </xdr:txBody>
    </xdr:sp>
    <xdr:clientData/>
  </xdr:twoCellAnchor>
  <xdr:twoCellAnchor>
    <xdr:from>
      <xdr:col>0</xdr:col>
      <xdr:colOff>0</xdr:colOff>
      <xdr:row>103</xdr:row>
      <xdr:rowOff>0</xdr:rowOff>
    </xdr:from>
    <xdr:to>
      <xdr:col>1</xdr:col>
      <xdr:colOff>95600</xdr:colOff>
      <xdr:row>103</xdr:row>
      <xdr:rowOff>177800</xdr:rowOff>
    </xdr:to>
    <xdr:sp macro="" textlink="">
      <xdr:nvSpPr>
        <xdr:cNvPr id="77" name="TextBox 76">
          <a:extLst>
            <a:ext uri="{FF2B5EF4-FFF2-40B4-BE49-F238E27FC236}">
              <a16:creationId xmlns:a16="http://schemas.microsoft.com/office/drawing/2014/main" id="{9B55ED86-B676-4B59-AE07-FCF2C3F91B88}"/>
            </a:ext>
          </a:extLst>
        </xdr:cNvPr>
        <xdr:cNvSpPr txBox="1"/>
      </xdr:nvSpPr>
      <xdr:spPr>
        <a:xfrm>
          <a:off x="0" y="22390100"/>
          <a:ext cx="756000" cy="177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n-GB" sz="1050">
              <a:latin typeface="Abadi" panose="020B0604020104020204" pitchFamily="34" charset="0"/>
            </a:rPr>
            <a:t>09:00am</a:t>
          </a:r>
          <a:endParaRPr lang="en-NG" sz="1050">
            <a:latin typeface="Abadi" panose="020B0604020104020204" pitchFamily="34" charset="0"/>
          </a:endParaRPr>
        </a:p>
      </xdr:txBody>
    </xdr:sp>
    <xdr:clientData/>
  </xdr:twoCellAnchor>
  <xdr:twoCellAnchor>
    <xdr:from>
      <xdr:col>0</xdr:col>
      <xdr:colOff>0</xdr:colOff>
      <xdr:row>104</xdr:row>
      <xdr:rowOff>6350</xdr:rowOff>
    </xdr:from>
    <xdr:to>
      <xdr:col>1</xdr:col>
      <xdr:colOff>95600</xdr:colOff>
      <xdr:row>104</xdr:row>
      <xdr:rowOff>184150</xdr:rowOff>
    </xdr:to>
    <xdr:sp macro="" textlink="">
      <xdr:nvSpPr>
        <xdr:cNvPr id="78" name="TextBox 77">
          <a:extLst>
            <a:ext uri="{FF2B5EF4-FFF2-40B4-BE49-F238E27FC236}">
              <a16:creationId xmlns:a16="http://schemas.microsoft.com/office/drawing/2014/main" id="{469723CB-6C42-4A39-A495-0C9A9A6DE3FD}"/>
            </a:ext>
          </a:extLst>
        </xdr:cNvPr>
        <xdr:cNvSpPr txBox="1"/>
      </xdr:nvSpPr>
      <xdr:spPr>
        <a:xfrm>
          <a:off x="0" y="22606000"/>
          <a:ext cx="756000" cy="177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n-GB" sz="1050">
              <a:latin typeface="Abadi" panose="020B0604020104020204" pitchFamily="34" charset="0"/>
            </a:rPr>
            <a:t>09:15 am</a:t>
          </a:r>
          <a:endParaRPr lang="en-NG" sz="1050">
            <a:latin typeface="Abadi" panose="020B0604020104020204" pitchFamily="34" charset="0"/>
          </a:endParaRPr>
        </a:p>
      </xdr:txBody>
    </xdr:sp>
    <xdr:clientData/>
  </xdr:twoCellAnchor>
  <xdr:twoCellAnchor>
    <xdr:from>
      <xdr:col>0</xdr:col>
      <xdr:colOff>0</xdr:colOff>
      <xdr:row>105</xdr:row>
      <xdr:rowOff>6350</xdr:rowOff>
    </xdr:from>
    <xdr:to>
      <xdr:col>1</xdr:col>
      <xdr:colOff>95600</xdr:colOff>
      <xdr:row>105</xdr:row>
      <xdr:rowOff>184150</xdr:rowOff>
    </xdr:to>
    <xdr:sp macro="" textlink="">
      <xdr:nvSpPr>
        <xdr:cNvPr id="79" name="TextBox 78">
          <a:extLst>
            <a:ext uri="{FF2B5EF4-FFF2-40B4-BE49-F238E27FC236}">
              <a16:creationId xmlns:a16="http://schemas.microsoft.com/office/drawing/2014/main" id="{E9501D32-B3DA-44FF-A6CD-A614F5C13359}"/>
            </a:ext>
          </a:extLst>
        </xdr:cNvPr>
        <xdr:cNvSpPr txBox="1"/>
      </xdr:nvSpPr>
      <xdr:spPr>
        <a:xfrm>
          <a:off x="0" y="22815550"/>
          <a:ext cx="756000" cy="177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n-GB" sz="1050">
              <a:latin typeface="Abadi" panose="020B0604020104020204" pitchFamily="34" charset="0"/>
            </a:rPr>
            <a:t>09:30 am</a:t>
          </a:r>
          <a:endParaRPr lang="en-NG" sz="1050">
            <a:latin typeface="Abadi" panose="020B0604020104020204" pitchFamily="34" charset="0"/>
          </a:endParaRPr>
        </a:p>
      </xdr:txBody>
    </xdr:sp>
    <xdr:clientData/>
  </xdr:twoCellAnchor>
  <xdr:twoCellAnchor>
    <xdr:from>
      <xdr:col>0</xdr:col>
      <xdr:colOff>0</xdr:colOff>
      <xdr:row>106</xdr:row>
      <xdr:rowOff>6350</xdr:rowOff>
    </xdr:from>
    <xdr:to>
      <xdr:col>1</xdr:col>
      <xdr:colOff>95600</xdr:colOff>
      <xdr:row>106</xdr:row>
      <xdr:rowOff>184150</xdr:rowOff>
    </xdr:to>
    <xdr:sp macro="" textlink="">
      <xdr:nvSpPr>
        <xdr:cNvPr id="80" name="TextBox 79">
          <a:extLst>
            <a:ext uri="{FF2B5EF4-FFF2-40B4-BE49-F238E27FC236}">
              <a16:creationId xmlns:a16="http://schemas.microsoft.com/office/drawing/2014/main" id="{7D4F0B98-C08D-40BD-A3DF-E6E6474ED6EA}"/>
            </a:ext>
          </a:extLst>
        </xdr:cNvPr>
        <xdr:cNvSpPr txBox="1"/>
      </xdr:nvSpPr>
      <xdr:spPr>
        <a:xfrm>
          <a:off x="0" y="23025100"/>
          <a:ext cx="756000" cy="177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n-GB" sz="1050">
              <a:latin typeface="Abadi" panose="020B0604020104020204" pitchFamily="34" charset="0"/>
            </a:rPr>
            <a:t>09:45 am</a:t>
          </a:r>
          <a:endParaRPr lang="en-NG" sz="1050">
            <a:latin typeface="Abadi" panose="020B0604020104020204" pitchFamily="34" charset="0"/>
          </a:endParaRPr>
        </a:p>
      </xdr:txBody>
    </xdr:sp>
    <xdr:clientData/>
  </xdr:twoCellAnchor>
  <xdr:twoCellAnchor>
    <xdr:from>
      <xdr:col>0</xdr:col>
      <xdr:colOff>0</xdr:colOff>
      <xdr:row>107</xdr:row>
      <xdr:rowOff>6350</xdr:rowOff>
    </xdr:from>
    <xdr:to>
      <xdr:col>1</xdr:col>
      <xdr:colOff>95600</xdr:colOff>
      <xdr:row>107</xdr:row>
      <xdr:rowOff>184150</xdr:rowOff>
    </xdr:to>
    <xdr:sp macro="" textlink="">
      <xdr:nvSpPr>
        <xdr:cNvPr id="81" name="TextBox 80">
          <a:extLst>
            <a:ext uri="{FF2B5EF4-FFF2-40B4-BE49-F238E27FC236}">
              <a16:creationId xmlns:a16="http://schemas.microsoft.com/office/drawing/2014/main" id="{B879F7B3-3456-48E8-A650-A97F80C3E719}"/>
            </a:ext>
          </a:extLst>
        </xdr:cNvPr>
        <xdr:cNvSpPr txBox="1"/>
      </xdr:nvSpPr>
      <xdr:spPr>
        <a:xfrm>
          <a:off x="0" y="23234650"/>
          <a:ext cx="756000" cy="177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l"/>
          <a:r>
            <a:rPr lang="en-GB" sz="1050">
              <a:latin typeface="Abadi" panose="020B0604020104020204" pitchFamily="34" charset="0"/>
            </a:rPr>
            <a:t>10:00 am</a:t>
          </a:r>
          <a:endParaRPr lang="en-NG" sz="1050">
            <a:latin typeface="Abadi" panose="020B0604020104020204" pitchFamily="34" charset="0"/>
          </a:endParaRPr>
        </a:p>
      </xdr:txBody>
    </xdr:sp>
    <xdr:clientData/>
  </xdr:twoCellAnchor>
  <xdr:twoCellAnchor>
    <xdr:from>
      <xdr:col>0</xdr:col>
      <xdr:colOff>0</xdr:colOff>
      <xdr:row>108</xdr:row>
      <xdr:rowOff>6350</xdr:rowOff>
    </xdr:from>
    <xdr:to>
      <xdr:col>1</xdr:col>
      <xdr:colOff>95600</xdr:colOff>
      <xdr:row>108</xdr:row>
      <xdr:rowOff>184150</xdr:rowOff>
    </xdr:to>
    <xdr:sp macro="" textlink="">
      <xdr:nvSpPr>
        <xdr:cNvPr id="82" name="TextBox 81">
          <a:extLst>
            <a:ext uri="{FF2B5EF4-FFF2-40B4-BE49-F238E27FC236}">
              <a16:creationId xmlns:a16="http://schemas.microsoft.com/office/drawing/2014/main" id="{B3BF0E1F-B3C4-4917-8969-0247C7D28BAD}"/>
            </a:ext>
          </a:extLst>
        </xdr:cNvPr>
        <xdr:cNvSpPr txBox="1"/>
      </xdr:nvSpPr>
      <xdr:spPr>
        <a:xfrm>
          <a:off x="0" y="23444200"/>
          <a:ext cx="756000" cy="177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GB" sz="1050">
              <a:latin typeface="Abadi" panose="020B0604020104020204" pitchFamily="34" charset="0"/>
            </a:rPr>
            <a:t>10:15</a:t>
          </a:r>
          <a:r>
            <a:rPr lang="en-GB" sz="1050" baseline="0">
              <a:latin typeface="Abadi" panose="020B0604020104020204" pitchFamily="34" charset="0"/>
            </a:rPr>
            <a:t> am</a:t>
          </a:r>
          <a:endParaRPr lang="en-NG" sz="1050">
            <a:latin typeface="Abadi" panose="020B0604020104020204" pitchFamily="34" charset="0"/>
          </a:endParaRPr>
        </a:p>
      </xdr:txBody>
    </xdr:sp>
    <xdr:clientData/>
  </xdr:twoCellAnchor>
  <xdr:twoCellAnchor>
    <xdr:from>
      <xdr:col>0</xdr:col>
      <xdr:colOff>0</xdr:colOff>
      <xdr:row>109</xdr:row>
      <xdr:rowOff>6350</xdr:rowOff>
    </xdr:from>
    <xdr:to>
      <xdr:col>1</xdr:col>
      <xdr:colOff>95600</xdr:colOff>
      <xdr:row>109</xdr:row>
      <xdr:rowOff>184150</xdr:rowOff>
    </xdr:to>
    <xdr:sp macro="" textlink="">
      <xdr:nvSpPr>
        <xdr:cNvPr id="83" name="TextBox 82">
          <a:extLst>
            <a:ext uri="{FF2B5EF4-FFF2-40B4-BE49-F238E27FC236}">
              <a16:creationId xmlns:a16="http://schemas.microsoft.com/office/drawing/2014/main" id="{ECBDA575-3502-4E5C-989C-774BCDEA007A}"/>
            </a:ext>
          </a:extLst>
        </xdr:cNvPr>
        <xdr:cNvSpPr txBox="1"/>
      </xdr:nvSpPr>
      <xdr:spPr>
        <a:xfrm>
          <a:off x="0" y="23653750"/>
          <a:ext cx="756000" cy="177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n-GB" sz="1050">
              <a:latin typeface="Abadi" panose="020B0604020104020204" pitchFamily="34" charset="0"/>
            </a:rPr>
            <a:t>10:30 am</a:t>
          </a:r>
          <a:endParaRPr lang="en-NG" sz="1050">
            <a:latin typeface="Abadi" panose="020B0604020104020204" pitchFamily="34" charset="0"/>
          </a:endParaRPr>
        </a:p>
      </xdr:txBody>
    </xdr:sp>
    <xdr:clientData/>
  </xdr:twoCellAnchor>
  <xdr:twoCellAnchor>
    <xdr:from>
      <xdr:col>0</xdr:col>
      <xdr:colOff>0</xdr:colOff>
      <xdr:row>110</xdr:row>
      <xdr:rowOff>6350</xdr:rowOff>
    </xdr:from>
    <xdr:to>
      <xdr:col>1</xdr:col>
      <xdr:colOff>95600</xdr:colOff>
      <xdr:row>110</xdr:row>
      <xdr:rowOff>184150</xdr:rowOff>
    </xdr:to>
    <xdr:sp macro="" textlink="">
      <xdr:nvSpPr>
        <xdr:cNvPr id="84" name="TextBox 83">
          <a:extLst>
            <a:ext uri="{FF2B5EF4-FFF2-40B4-BE49-F238E27FC236}">
              <a16:creationId xmlns:a16="http://schemas.microsoft.com/office/drawing/2014/main" id="{25E7BC16-88A7-4148-9422-C61ECB8EBFF0}"/>
            </a:ext>
          </a:extLst>
        </xdr:cNvPr>
        <xdr:cNvSpPr txBox="1"/>
      </xdr:nvSpPr>
      <xdr:spPr>
        <a:xfrm>
          <a:off x="0" y="23863300"/>
          <a:ext cx="756000" cy="177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GB" sz="1050">
              <a:latin typeface="Abadi" panose="020B0604020104020204" pitchFamily="34" charset="0"/>
            </a:rPr>
            <a:t>10:45 am</a:t>
          </a:r>
          <a:endParaRPr lang="en-NG" sz="1050">
            <a:latin typeface="Abadi" panose="020B0604020104020204" pitchFamily="34" charset="0"/>
          </a:endParaRPr>
        </a:p>
      </xdr:txBody>
    </xdr:sp>
    <xdr:clientData/>
  </xdr:twoCellAnchor>
  <xdr:twoCellAnchor>
    <xdr:from>
      <xdr:col>0</xdr:col>
      <xdr:colOff>0</xdr:colOff>
      <xdr:row>111</xdr:row>
      <xdr:rowOff>6350</xdr:rowOff>
    </xdr:from>
    <xdr:to>
      <xdr:col>1</xdr:col>
      <xdr:colOff>95600</xdr:colOff>
      <xdr:row>111</xdr:row>
      <xdr:rowOff>184150</xdr:rowOff>
    </xdr:to>
    <xdr:sp macro="" textlink="">
      <xdr:nvSpPr>
        <xdr:cNvPr id="85" name="TextBox 84">
          <a:extLst>
            <a:ext uri="{FF2B5EF4-FFF2-40B4-BE49-F238E27FC236}">
              <a16:creationId xmlns:a16="http://schemas.microsoft.com/office/drawing/2014/main" id="{2F795C38-2C63-4317-A5E5-324D4A082FD1}"/>
            </a:ext>
          </a:extLst>
        </xdr:cNvPr>
        <xdr:cNvSpPr txBox="1"/>
      </xdr:nvSpPr>
      <xdr:spPr>
        <a:xfrm>
          <a:off x="0" y="24072850"/>
          <a:ext cx="756000" cy="177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GB" sz="1050">
              <a:latin typeface="Abadi" panose="020B0604020104020204" pitchFamily="34" charset="0"/>
            </a:rPr>
            <a:t>11:00 am</a:t>
          </a:r>
          <a:endParaRPr lang="en-NG" sz="1050">
            <a:latin typeface="Abadi" panose="020B0604020104020204" pitchFamily="34" charset="0"/>
          </a:endParaRPr>
        </a:p>
      </xdr:txBody>
    </xdr:sp>
    <xdr:clientData/>
  </xdr:twoCellAnchor>
  <xdr:twoCellAnchor>
    <xdr:from>
      <xdr:col>0</xdr:col>
      <xdr:colOff>0</xdr:colOff>
      <xdr:row>112</xdr:row>
      <xdr:rowOff>0</xdr:rowOff>
    </xdr:from>
    <xdr:to>
      <xdr:col>1</xdr:col>
      <xdr:colOff>95600</xdr:colOff>
      <xdr:row>112</xdr:row>
      <xdr:rowOff>177800</xdr:rowOff>
    </xdr:to>
    <xdr:sp macro="" textlink="">
      <xdr:nvSpPr>
        <xdr:cNvPr id="86" name="TextBox 85">
          <a:extLst>
            <a:ext uri="{FF2B5EF4-FFF2-40B4-BE49-F238E27FC236}">
              <a16:creationId xmlns:a16="http://schemas.microsoft.com/office/drawing/2014/main" id="{68D06E15-BC58-4941-A3E0-098ABEAE89FF}"/>
            </a:ext>
          </a:extLst>
        </xdr:cNvPr>
        <xdr:cNvSpPr txBox="1"/>
      </xdr:nvSpPr>
      <xdr:spPr>
        <a:xfrm>
          <a:off x="0" y="24276050"/>
          <a:ext cx="756000" cy="177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GB" sz="1050">
              <a:latin typeface="Abadi" panose="020B0604020104020204" pitchFamily="34" charset="0"/>
            </a:rPr>
            <a:t>11:15</a:t>
          </a:r>
          <a:r>
            <a:rPr lang="en-GB" sz="1050" baseline="0">
              <a:latin typeface="Abadi" panose="020B0604020104020204" pitchFamily="34" charset="0"/>
            </a:rPr>
            <a:t> am</a:t>
          </a:r>
          <a:endParaRPr lang="en-NG" sz="1050">
            <a:latin typeface="Abadi" panose="020B0604020104020204" pitchFamily="34" charset="0"/>
          </a:endParaRPr>
        </a:p>
      </xdr:txBody>
    </xdr:sp>
    <xdr:clientData/>
  </xdr:twoCellAnchor>
  <xdr:twoCellAnchor>
    <xdr:from>
      <xdr:col>0</xdr:col>
      <xdr:colOff>0</xdr:colOff>
      <xdr:row>113</xdr:row>
      <xdr:rowOff>0</xdr:rowOff>
    </xdr:from>
    <xdr:to>
      <xdr:col>1</xdr:col>
      <xdr:colOff>95600</xdr:colOff>
      <xdr:row>113</xdr:row>
      <xdr:rowOff>177800</xdr:rowOff>
    </xdr:to>
    <xdr:sp macro="" textlink="">
      <xdr:nvSpPr>
        <xdr:cNvPr id="87" name="TextBox 86">
          <a:extLst>
            <a:ext uri="{FF2B5EF4-FFF2-40B4-BE49-F238E27FC236}">
              <a16:creationId xmlns:a16="http://schemas.microsoft.com/office/drawing/2014/main" id="{59E68D0F-CE96-4DB9-BFD1-CD36726BEA1F}"/>
            </a:ext>
          </a:extLst>
        </xdr:cNvPr>
        <xdr:cNvSpPr txBox="1"/>
      </xdr:nvSpPr>
      <xdr:spPr>
        <a:xfrm>
          <a:off x="0" y="24485600"/>
          <a:ext cx="756000" cy="177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n-GB" sz="1050">
              <a:latin typeface="Abadi" panose="020B0604020104020204" pitchFamily="34" charset="0"/>
            </a:rPr>
            <a:t>11:30 am</a:t>
          </a:r>
          <a:endParaRPr lang="en-NG" sz="1050">
            <a:latin typeface="Abadi" panose="020B0604020104020204" pitchFamily="34" charset="0"/>
          </a:endParaRPr>
        </a:p>
      </xdr:txBody>
    </xdr:sp>
    <xdr:clientData/>
  </xdr:twoCellAnchor>
  <xdr:twoCellAnchor>
    <xdr:from>
      <xdr:col>0</xdr:col>
      <xdr:colOff>0</xdr:colOff>
      <xdr:row>114</xdr:row>
      <xdr:rowOff>0</xdr:rowOff>
    </xdr:from>
    <xdr:to>
      <xdr:col>1</xdr:col>
      <xdr:colOff>95600</xdr:colOff>
      <xdr:row>114</xdr:row>
      <xdr:rowOff>177800</xdr:rowOff>
    </xdr:to>
    <xdr:sp macro="" textlink="">
      <xdr:nvSpPr>
        <xdr:cNvPr id="88" name="TextBox 87">
          <a:extLst>
            <a:ext uri="{FF2B5EF4-FFF2-40B4-BE49-F238E27FC236}">
              <a16:creationId xmlns:a16="http://schemas.microsoft.com/office/drawing/2014/main" id="{943A7FA4-B258-4750-9A00-1246FAC129A5}"/>
            </a:ext>
          </a:extLst>
        </xdr:cNvPr>
        <xdr:cNvSpPr txBox="1"/>
      </xdr:nvSpPr>
      <xdr:spPr>
        <a:xfrm>
          <a:off x="0" y="24695150"/>
          <a:ext cx="756000" cy="177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GB" sz="1050">
              <a:latin typeface="Abadi" panose="020B0604020104020204" pitchFamily="34" charset="0"/>
            </a:rPr>
            <a:t>11:45 am</a:t>
          </a:r>
          <a:endParaRPr lang="en-NG" sz="1050">
            <a:latin typeface="Abadi" panose="020B0604020104020204" pitchFamily="34" charset="0"/>
          </a:endParaRPr>
        </a:p>
      </xdr:txBody>
    </xdr:sp>
    <xdr:clientData/>
  </xdr:twoCellAnchor>
  <xdr:twoCellAnchor>
    <xdr:from>
      <xdr:col>0</xdr:col>
      <xdr:colOff>0</xdr:colOff>
      <xdr:row>115</xdr:row>
      <xdr:rowOff>0</xdr:rowOff>
    </xdr:from>
    <xdr:to>
      <xdr:col>1</xdr:col>
      <xdr:colOff>95600</xdr:colOff>
      <xdr:row>115</xdr:row>
      <xdr:rowOff>177800</xdr:rowOff>
    </xdr:to>
    <xdr:sp macro="" textlink="">
      <xdr:nvSpPr>
        <xdr:cNvPr id="89" name="TextBox 88">
          <a:extLst>
            <a:ext uri="{FF2B5EF4-FFF2-40B4-BE49-F238E27FC236}">
              <a16:creationId xmlns:a16="http://schemas.microsoft.com/office/drawing/2014/main" id="{20161992-7BA0-42F9-B274-90528B428275}"/>
            </a:ext>
          </a:extLst>
        </xdr:cNvPr>
        <xdr:cNvSpPr txBox="1"/>
      </xdr:nvSpPr>
      <xdr:spPr>
        <a:xfrm>
          <a:off x="0" y="24904700"/>
          <a:ext cx="756000" cy="177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GB" sz="1050">
              <a:latin typeface="Abadi" panose="020B0604020104020204" pitchFamily="34" charset="0"/>
            </a:rPr>
            <a:t>12:00 pm</a:t>
          </a:r>
          <a:endParaRPr lang="en-NG" sz="1050">
            <a:latin typeface="Abadi" panose="020B0604020104020204" pitchFamily="34" charset="0"/>
          </a:endParaRPr>
        </a:p>
      </xdr:txBody>
    </xdr:sp>
    <xdr:clientData/>
  </xdr:twoCellAnchor>
  <xdr:twoCellAnchor>
    <xdr:from>
      <xdr:col>0</xdr:col>
      <xdr:colOff>0</xdr:colOff>
      <xdr:row>116</xdr:row>
      <xdr:rowOff>12700</xdr:rowOff>
    </xdr:from>
    <xdr:to>
      <xdr:col>1</xdr:col>
      <xdr:colOff>95600</xdr:colOff>
      <xdr:row>116</xdr:row>
      <xdr:rowOff>190500</xdr:rowOff>
    </xdr:to>
    <xdr:sp macro="" textlink="">
      <xdr:nvSpPr>
        <xdr:cNvPr id="90" name="TextBox 89">
          <a:extLst>
            <a:ext uri="{FF2B5EF4-FFF2-40B4-BE49-F238E27FC236}">
              <a16:creationId xmlns:a16="http://schemas.microsoft.com/office/drawing/2014/main" id="{4CB34CA5-8715-4714-9697-261F3DB9828D}"/>
            </a:ext>
          </a:extLst>
        </xdr:cNvPr>
        <xdr:cNvSpPr txBox="1"/>
      </xdr:nvSpPr>
      <xdr:spPr>
        <a:xfrm>
          <a:off x="0" y="25126950"/>
          <a:ext cx="756000" cy="177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GB" sz="1050">
              <a:latin typeface="Abadi" panose="020B0604020104020204" pitchFamily="34" charset="0"/>
            </a:rPr>
            <a:t>12:15</a:t>
          </a:r>
          <a:r>
            <a:rPr lang="en-GB" sz="1050" baseline="0">
              <a:latin typeface="Abadi" panose="020B0604020104020204" pitchFamily="34" charset="0"/>
            </a:rPr>
            <a:t> pm</a:t>
          </a:r>
          <a:endParaRPr lang="en-NG" sz="1050">
            <a:latin typeface="Abadi" panose="020B0604020104020204" pitchFamily="34" charset="0"/>
          </a:endParaRPr>
        </a:p>
      </xdr:txBody>
    </xdr:sp>
    <xdr:clientData/>
  </xdr:twoCellAnchor>
  <xdr:twoCellAnchor>
    <xdr:from>
      <xdr:col>0</xdr:col>
      <xdr:colOff>0</xdr:colOff>
      <xdr:row>117</xdr:row>
      <xdr:rowOff>19050</xdr:rowOff>
    </xdr:from>
    <xdr:to>
      <xdr:col>1</xdr:col>
      <xdr:colOff>95600</xdr:colOff>
      <xdr:row>118</xdr:row>
      <xdr:rowOff>0</xdr:rowOff>
    </xdr:to>
    <xdr:sp macro="" textlink="">
      <xdr:nvSpPr>
        <xdr:cNvPr id="91" name="TextBox 90">
          <a:extLst>
            <a:ext uri="{FF2B5EF4-FFF2-40B4-BE49-F238E27FC236}">
              <a16:creationId xmlns:a16="http://schemas.microsoft.com/office/drawing/2014/main" id="{C830FC21-FC3B-4E6D-BC4E-B167BF8E8D47}"/>
            </a:ext>
          </a:extLst>
        </xdr:cNvPr>
        <xdr:cNvSpPr txBox="1"/>
      </xdr:nvSpPr>
      <xdr:spPr>
        <a:xfrm>
          <a:off x="0" y="25342850"/>
          <a:ext cx="756000" cy="190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n-GB" sz="1050">
              <a:latin typeface="Abadi" panose="020B0604020104020204" pitchFamily="34" charset="0"/>
            </a:rPr>
            <a:t>12:30 pm</a:t>
          </a:r>
          <a:endParaRPr lang="en-NG" sz="1050">
            <a:latin typeface="Abadi" panose="020B0604020104020204" pitchFamily="34" charset="0"/>
          </a:endParaRPr>
        </a:p>
      </xdr:txBody>
    </xdr:sp>
    <xdr:clientData/>
  </xdr:twoCellAnchor>
  <xdr:twoCellAnchor>
    <xdr:from>
      <xdr:col>0</xdr:col>
      <xdr:colOff>0</xdr:colOff>
      <xdr:row>118</xdr:row>
      <xdr:rowOff>19050</xdr:rowOff>
    </xdr:from>
    <xdr:to>
      <xdr:col>1</xdr:col>
      <xdr:colOff>95600</xdr:colOff>
      <xdr:row>119</xdr:row>
      <xdr:rowOff>0</xdr:rowOff>
    </xdr:to>
    <xdr:sp macro="" textlink="">
      <xdr:nvSpPr>
        <xdr:cNvPr id="92" name="TextBox 91">
          <a:extLst>
            <a:ext uri="{FF2B5EF4-FFF2-40B4-BE49-F238E27FC236}">
              <a16:creationId xmlns:a16="http://schemas.microsoft.com/office/drawing/2014/main" id="{C2933758-D2A4-43A8-A79D-A5CB8A939B3D}"/>
            </a:ext>
          </a:extLst>
        </xdr:cNvPr>
        <xdr:cNvSpPr txBox="1"/>
      </xdr:nvSpPr>
      <xdr:spPr>
        <a:xfrm>
          <a:off x="0" y="25552400"/>
          <a:ext cx="756000" cy="190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GB" sz="1050">
              <a:latin typeface="Abadi" panose="020B0604020104020204" pitchFamily="34" charset="0"/>
            </a:rPr>
            <a:t>12:45 pm</a:t>
          </a:r>
          <a:endParaRPr lang="en-NG" sz="1050">
            <a:latin typeface="Abadi" panose="020B0604020104020204" pitchFamily="34" charset="0"/>
          </a:endParaRPr>
        </a:p>
      </xdr:txBody>
    </xdr:sp>
    <xdr:clientData/>
  </xdr:twoCellAnchor>
  <xdr:twoCellAnchor>
    <xdr:from>
      <xdr:col>0</xdr:col>
      <xdr:colOff>0</xdr:colOff>
      <xdr:row>119</xdr:row>
      <xdr:rowOff>19050</xdr:rowOff>
    </xdr:from>
    <xdr:to>
      <xdr:col>1</xdr:col>
      <xdr:colOff>95600</xdr:colOff>
      <xdr:row>120</xdr:row>
      <xdr:rowOff>0</xdr:rowOff>
    </xdr:to>
    <xdr:sp macro="" textlink="">
      <xdr:nvSpPr>
        <xdr:cNvPr id="93" name="TextBox 92">
          <a:extLst>
            <a:ext uri="{FF2B5EF4-FFF2-40B4-BE49-F238E27FC236}">
              <a16:creationId xmlns:a16="http://schemas.microsoft.com/office/drawing/2014/main" id="{1920F492-852E-43A3-B9E2-42037DDDBCEB}"/>
            </a:ext>
          </a:extLst>
        </xdr:cNvPr>
        <xdr:cNvSpPr txBox="1"/>
      </xdr:nvSpPr>
      <xdr:spPr>
        <a:xfrm>
          <a:off x="0" y="25761950"/>
          <a:ext cx="756000" cy="190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GB" sz="1050">
              <a:latin typeface="Abadi" panose="020B0604020104020204" pitchFamily="34" charset="0"/>
            </a:rPr>
            <a:t>01:00 pm</a:t>
          </a:r>
          <a:endParaRPr lang="en-NG" sz="1050">
            <a:latin typeface="Abadi" panose="020B0604020104020204" pitchFamily="34" charset="0"/>
          </a:endParaRPr>
        </a:p>
      </xdr:txBody>
    </xdr:sp>
    <xdr:clientData/>
  </xdr:twoCellAnchor>
  <xdr:twoCellAnchor>
    <xdr:from>
      <xdr:col>0</xdr:col>
      <xdr:colOff>0</xdr:colOff>
      <xdr:row>120</xdr:row>
      <xdr:rowOff>0</xdr:rowOff>
    </xdr:from>
    <xdr:to>
      <xdr:col>1</xdr:col>
      <xdr:colOff>95600</xdr:colOff>
      <xdr:row>120</xdr:row>
      <xdr:rowOff>190500</xdr:rowOff>
    </xdr:to>
    <xdr:sp macro="" textlink="">
      <xdr:nvSpPr>
        <xdr:cNvPr id="94" name="TextBox 93">
          <a:extLst>
            <a:ext uri="{FF2B5EF4-FFF2-40B4-BE49-F238E27FC236}">
              <a16:creationId xmlns:a16="http://schemas.microsoft.com/office/drawing/2014/main" id="{568E1008-6B11-422B-8AEC-B3C0F260EC10}"/>
            </a:ext>
          </a:extLst>
        </xdr:cNvPr>
        <xdr:cNvSpPr txBox="1"/>
      </xdr:nvSpPr>
      <xdr:spPr>
        <a:xfrm>
          <a:off x="0" y="25952450"/>
          <a:ext cx="756000" cy="190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GB" sz="1050">
              <a:latin typeface="Abadi" panose="020B0604020104020204" pitchFamily="34" charset="0"/>
            </a:rPr>
            <a:t>01:15</a:t>
          </a:r>
          <a:r>
            <a:rPr lang="en-GB" sz="1050" baseline="0">
              <a:latin typeface="Abadi" panose="020B0604020104020204" pitchFamily="34" charset="0"/>
            </a:rPr>
            <a:t> pm</a:t>
          </a:r>
          <a:endParaRPr lang="en-NG" sz="1050">
            <a:latin typeface="Abadi" panose="020B0604020104020204" pitchFamily="34" charset="0"/>
          </a:endParaRPr>
        </a:p>
      </xdr:txBody>
    </xdr:sp>
    <xdr:clientData/>
  </xdr:twoCellAnchor>
  <xdr:twoCellAnchor>
    <xdr:from>
      <xdr:col>0</xdr:col>
      <xdr:colOff>0</xdr:colOff>
      <xdr:row>121</xdr:row>
      <xdr:rowOff>12700</xdr:rowOff>
    </xdr:from>
    <xdr:to>
      <xdr:col>1</xdr:col>
      <xdr:colOff>95600</xdr:colOff>
      <xdr:row>121</xdr:row>
      <xdr:rowOff>203200</xdr:rowOff>
    </xdr:to>
    <xdr:sp macro="" textlink="">
      <xdr:nvSpPr>
        <xdr:cNvPr id="95" name="TextBox 94">
          <a:extLst>
            <a:ext uri="{FF2B5EF4-FFF2-40B4-BE49-F238E27FC236}">
              <a16:creationId xmlns:a16="http://schemas.microsoft.com/office/drawing/2014/main" id="{0E1CC597-66C8-420D-B1A1-D5EFFFC8B4BE}"/>
            </a:ext>
          </a:extLst>
        </xdr:cNvPr>
        <xdr:cNvSpPr txBox="1"/>
      </xdr:nvSpPr>
      <xdr:spPr>
        <a:xfrm>
          <a:off x="0" y="26174700"/>
          <a:ext cx="756000" cy="190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n-GB" sz="1050">
              <a:latin typeface="Abadi" panose="020B0604020104020204" pitchFamily="34" charset="0"/>
            </a:rPr>
            <a:t>01:30 pm</a:t>
          </a:r>
          <a:endParaRPr lang="en-NG" sz="1050">
            <a:latin typeface="Abadi" panose="020B0604020104020204" pitchFamily="34" charset="0"/>
          </a:endParaRPr>
        </a:p>
      </xdr:txBody>
    </xdr:sp>
    <xdr:clientData/>
  </xdr:twoCellAnchor>
  <xdr:twoCellAnchor>
    <xdr:from>
      <xdr:col>0</xdr:col>
      <xdr:colOff>0</xdr:colOff>
      <xdr:row>122</xdr:row>
      <xdr:rowOff>12700</xdr:rowOff>
    </xdr:from>
    <xdr:to>
      <xdr:col>1</xdr:col>
      <xdr:colOff>95600</xdr:colOff>
      <xdr:row>122</xdr:row>
      <xdr:rowOff>203200</xdr:rowOff>
    </xdr:to>
    <xdr:sp macro="" textlink="">
      <xdr:nvSpPr>
        <xdr:cNvPr id="96" name="TextBox 95">
          <a:extLst>
            <a:ext uri="{FF2B5EF4-FFF2-40B4-BE49-F238E27FC236}">
              <a16:creationId xmlns:a16="http://schemas.microsoft.com/office/drawing/2014/main" id="{E648FAF0-721E-4B06-8AED-4125EA6171E0}"/>
            </a:ext>
          </a:extLst>
        </xdr:cNvPr>
        <xdr:cNvSpPr txBox="1"/>
      </xdr:nvSpPr>
      <xdr:spPr>
        <a:xfrm>
          <a:off x="0" y="26384250"/>
          <a:ext cx="756000" cy="190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GB" sz="1050">
              <a:latin typeface="Abadi" panose="020B0604020104020204" pitchFamily="34" charset="0"/>
            </a:rPr>
            <a:t>01:45 pm</a:t>
          </a:r>
          <a:endParaRPr lang="en-NG" sz="1050">
            <a:latin typeface="Abadi" panose="020B0604020104020204" pitchFamily="34" charset="0"/>
          </a:endParaRPr>
        </a:p>
      </xdr:txBody>
    </xdr:sp>
    <xdr:clientData/>
  </xdr:twoCellAnchor>
  <xdr:twoCellAnchor>
    <xdr:from>
      <xdr:col>0</xdr:col>
      <xdr:colOff>0</xdr:colOff>
      <xdr:row>123</xdr:row>
      <xdr:rowOff>19050</xdr:rowOff>
    </xdr:from>
    <xdr:to>
      <xdr:col>1</xdr:col>
      <xdr:colOff>95600</xdr:colOff>
      <xdr:row>124</xdr:row>
      <xdr:rowOff>0</xdr:rowOff>
    </xdr:to>
    <xdr:sp macro="" textlink="">
      <xdr:nvSpPr>
        <xdr:cNvPr id="97" name="TextBox 96">
          <a:extLst>
            <a:ext uri="{FF2B5EF4-FFF2-40B4-BE49-F238E27FC236}">
              <a16:creationId xmlns:a16="http://schemas.microsoft.com/office/drawing/2014/main" id="{B177F4A8-CF33-400E-BD3F-9E436E2D0640}"/>
            </a:ext>
          </a:extLst>
        </xdr:cNvPr>
        <xdr:cNvSpPr txBox="1"/>
      </xdr:nvSpPr>
      <xdr:spPr>
        <a:xfrm>
          <a:off x="0" y="26600150"/>
          <a:ext cx="756000" cy="190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GB" sz="1050">
              <a:latin typeface="Abadi" panose="020B0604020104020204" pitchFamily="34" charset="0"/>
            </a:rPr>
            <a:t>02:00 pm</a:t>
          </a:r>
          <a:endParaRPr lang="en-NG" sz="1050">
            <a:latin typeface="Abadi" panose="020B0604020104020204" pitchFamily="34" charset="0"/>
          </a:endParaRPr>
        </a:p>
      </xdr:txBody>
    </xdr:sp>
    <xdr:clientData/>
  </xdr:twoCellAnchor>
  <xdr:twoCellAnchor>
    <xdr:from>
      <xdr:col>0</xdr:col>
      <xdr:colOff>0</xdr:colOff>
      <xdr:row>124</xdr:row>
      <xdr:rowOff>0</xdr:rowOff>
    </xdr:from>
    <xdr:to>
      <xdr:col>1</xdr:col>
      <xdr:colOff>95600</xdr:colOff>
      <xdr:row>124</xdr:row>
      <xdr:rowOff>190500</xdr:rowOff>
    </xdr:to>
    <xdr:sp macro="" textlink="">
      <xdr:nvSpPr>
        <xdr:cNvPr id="98" name="TextBox 97">
          <a:extLst>
            <a:ext uri="{FF2B5EF4-FFF2-40B4-BE49-F238E27FC236}">
              <a16:creationId xmlns:a16="http://schemas.microsoft.com/office/drawing/2014/main" id="{F1D49493-7159-4260-9D8A-169635E85F56}"/>
            </a:ext>
          </a:extLst>
        </xdr:cNvPr>
        <xdr:cNvSpPr txBox="1"/>
      </xdr:nvSpPr>
      <xdr:spPr>
        <a:xfrm>
          <a:off x="0" y="26790650"/>
          <a:ext cx="756000" cy="190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GB" sz="1050">
              <a:latin typeface="Abadi" panose="020B0604020104020204" pitchFamily="34" charset="0"/>
            </a:rPr>
            <a:t>02:15</a:t>
          </a:r>
          <a:r>
            <a:rPr lang="en-GB" sz="1050" baseline="0">
              <a:latin typeface="Abadi" panose="020B0604020104020204" pitchFamily="34" charset="0"/>
            </a:rPr>
            <a:t> pm</a:t>
          </a:r>
          <a:endParaRPr lang="en-NG" sz="1050">
            <a:latin typeface="Abadi" panose="020B0604020104020204" pitchFamily="34" charset="0"/>
          </a:endParaRPr>
        </a:p>
      </xdr:txBody>
    </xdr:sp>
    <xdr:clientData/>
  </xdr:twoCellAnchor>
  <xdr:twoCellAnchor>
    <xdr:from>
      <xdr:col>0</xdr:col>
      <xdr:colOff>0</xdr:colOff>
      <xdr:row>125</xdr:row>
      <xdr:rowOff>12700</xdr:rowOff>
    </xdr:from>
    <xdr:to>
      <xdr:col>1</xdr:col>
      <xdr:colOff>95600</xdr:colOff>
      <xdr:row>125</xdr:row>
      <xdr:rowOff>203200</xdr:rowOff>
    </xdr:to>
    <xdr:sp macro="" textlink="">
      <xdr:nvSpPr>
        <xdr:cNvPr id="99" name="TextBox 98">
          <a:extLst>
            <a:ext uri="{FF2B5EF4-FFF2-40B4-BE49-F238E27FC236}">
              <a16:creationId xmlns:a16="http://schemas.microsoft.com/office/drawing/2014/main" id="{E8552816-A885-4803-B88E-CAB05A53AF63}"/>
            </a:ext>
          </a:extLst>
        </xdr:cNvPr>
        <xdr:cNvSpPr txBox="1"/>
      </xdr:nvSpPr>
      <xdr:spPr>
        <a:xfrm>
          <a:off x="0" y="27012900"/>
          <a:ext cx="756000" cy="190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n-GB" sz="1050">
              <a:latin typeface="Abadi" panose="020B0604020104020204" pitchFamily="34" charset="0"/>
            </a:rPr>
            <a:t>02:30 pm</a:t>
          </a:r>
          <a:endParaRPr lang="en-NG" sz="1050">
            <a:latin typeface="Abadi" panose="020B0604020104020204" pitchFamily="34" charset="0"/>
          </a:endParaRPr>
        </a:p>
      </xdr:txBody>
    </xdr:sp>
    <xdr:clientData/>
  </xdr:twoCellAnchor>
  <xdr:twoCellAnchor>
    <xdr:from>
      <xdr:col>0</xdr:col>
      <xdr:colOff>0</xdr:colOff>
      <xdr:row>126</xdr:row>
      <xdr:rowOff>0</xdr:rowOff>
    </xdr:from>
    <xdr:to>
      <xdr:col>1</xdr:col>
      <xdr:colOff>95600</xdr:colOff>
      <xdr:row>126</xdr:row>
      <xdr:rowOff>190500</xdr:rowOff>
    </xdr:to>
    <xdr:sp macro="" textlink="">
      <xdr:nvSpPr>
        <xdr:cNvPr id="100" name="TextBox 99">
          <a:extLst>
            <a:ext uri="{FF2B5EF4-FFF2-40B4-BE49-F238E27FC236}">
              <a16:creationId xmlns:a16="http://schemas.microsoft.com/office/drawing/2014/main" id="{22F2BEA0-D6FC-45FF-B472-F8C59E099B61}"/>
            </a:ext>
          </a:extLst>
        </xdr:cNvPr>
        <xdr:cNvSpPr txBox="1"/>
      </xdr:nvSpPr>
      <xdr:spPr>
        <a:xfrm>
          <a:off x="0" y="27209750"/>
          <a:ext cx="756000" cy="190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GB" sz="1050">
              <a:latin typeface="Abadi" panose="020B0604020104020204" pitchFamily="34" charset="0"/>
            </a:rPr>
            <a:t>02:45 pm</a:t>
          </a:r>
          <a:endParaRPr lang="en-NG" sz="1050">
            <a:latin typeface="Abadi" panose="020B0604020104020204" pitchFamily="34" charset="0"/>
          </a:endParaRPr>
        </a:p>
      </xdr:txBody>
    </xdr:sp>
    <xdr:clientData/>
  </xdr:twoCellAnchor>
  <xdr:twoCellAnchor>
    <xdr:from>
      <xdr:col>0</xdr:col>
      <xdr:colOff>0</xdr:colOff>
      <xdr:row>127</xdr:row>
      <xdr:rowOff>0</xdr:rowOff>
    </xdr:from>
    <xdr:to>
      <xdr:col>1</xdr:col>
      <xdr:colOff>95600</xdr:colOff>
      <xdr:row>127</xdr:row>
      <xdr:rowOff>190500</xdr:rowOff>
    </xdr:to>
    <xdr:sp macro="" textlink="">
      <xdr:nvSpPr>
        <xdr:cNvPr id="101" name="TextBox 100">
          <a:extLst>
            <a:ext uri="{FF2B5EF4-FFF2-40B4-BE49-F238E27FC236}">
              <a16:creationId xmlns:a16="http://schemas.microsoft.com/office/drawing/2014/main" id="{F99F2CA6-753C-46F3-A579-4934AE1F006E}"/>
            </a:ext>
          </a:extLst>
        </xdr:cNvPr>
        <xdr:cNvSpPr txBox="1"/>
      </xdr:nvSpPr>
      <xdr:spPr>
        <a:xfrm>
          <a:off x="0" y="27419300"/>
          <a:ext cx="756000" cy="190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GB" sz="1050">
              <a:latin typeface="Abadi" panose="020B0604020104020204" pitchFamily="34" charset="0"/>
            </a:rPr>
            <a:t>03:00 pm</a:t>
          </a:r>
          <a:endParaRPr lang="en-NG" sz="1050">
            <a:latin typeface="Abadi" panose="020B0604020104020204" pitchFamily="34" charset="0"/>
          </a:endParaRPr>
        </a:p>
      </xdr:txBody>
    </xdr:sp>
    <xdr:clientData/>
  </xdr:twoCellAnchor>
  <xdr:twoCellAnchor>
    <xdr:from>
      <xdr:col>0</xdr:col>
      <xdr:colOff>609600</xdr:colOff>
      <xdr:row>101</xdr:row>
      <xdr:rowOff>6350</xdr:rowOff>
    </xdr:from>
    <xdr:to>
      <xdr:col>1</xdr:col>
      <xdr:colOff>597200</xdr:colOff>
      <xdr:row>102</xdr:row>
      <xdr:rowOff>199150</xdr:rowOff>
    </xdr:to>
    <xdr:sp macro="" textlink="">
      <xdr:nvSpPr>
        <xdr:cNvPr id="102" name="TextBox 101">
          <a:extLst>
            <a:ext uri="{FF2B5EF4-FFF2-40B4-BE49-F238E27FC236}">
              <a16:creationId xmlns:a16="http://schemas.microsoft.com/office/drawing/2014/main" id="{82BF8344-3EF3-402A-B5E9-F81C02E5E307}"/>
            </a:ext>
          </a:extLst>
        </xdr:cNvPr>
        <xdr:cNvSpPr txBox="1"/>
      </xdr:nvSpPr>
      <xdr:spPr>
        <a:xfrm>
          <a:off x="609600" y="21990050"/>
          <a:ext cx="648000" cy="396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050">
              <a:latin typeface="Abadi" panose="020B0604020104020204" pitchFamily="34" charset="0"/>
            </a:rPr>
            <a:t>Voltage</a:t>
          </a:r>
        </a:p>
        <a:p>
          <a:pPr algn="ctr"/>
          <a:r>
            <a:rPr lang="en-GB" sz="1050">
              <a:latin typeface="Abadi" panose="020B0604020104020204" pitchFamily="34" charset="0"/>
            </a:rPr>
            <a:t>L1</a:t>
          </a:r>
          <a:endParaRPr lang="en-NG" sz="1050">
            <a:latin typeface="Abadi" panose="020B0604020104020204" pitchFamily="34" charset="0"/>
          </a:endParaRPr>
        </a:p>
      </xdr:txBody>
    </xdr:sp>
    <xdr:clientData/>
  </xdr:twoCellAnchor>
  <xdr:twoCellAnchor>
    <xdr:from>
      <xdr:col>2</xdr:col>
      <xdr:colOff>44450</xdr:colOff>
      <xdr:row>101</xdr:row>
      <xdr:rowOff>6350</xdr:rowOff>
    </xdr:from>
    <xdr:to>
      <xdr:col>2</xdr:col>
      <xdr:colOff>692450</xdr:colOff>
      <xdr:row>102</xdr:row>
      <xdr:rowOff>199150</xdr:rowOff>
    </xdr:to>
    <xdr:sp macro="" textlink="">
      <xdr:nvSpPr>
        <xdr:cNvPr id="103" name="TextBox 102">
          <a:extLst>
            <a:ext uri="{FF2B5EF4-FFF2-40B4-BE49-F238E27FC236}">
              <a16:creationId xmlns:a16="http://schemas.microsoft.com/office/drawing/2014/main" id="{48A9FC87-A37D-4ED0-A772-AEF28160DE6A}"/>
            </a:ext>
          </a:extLst>
        </xdr:cNvPr>
        <xdr:cNvSpPr txBox="1"/>
      </xdr:nvSpPr>
      <xdr:spPr>
        <a:xfrm>
          <a:off x="1365250" y="21990050"/>
          <a:ext cx="648000" cy="396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050">
              <a:latin typeface="Abadi" panose="020B0604020104020204" pitchFamily="34" charset="0"/>
            </a:rPr>
            <a:t>Voltage</a:t>
          </a:r>
        </a:p>
        <a:p>
          <a:pPr algn="ctr"/>
          <a:r>
            <a:rPr lang="en-GB" sz="1050">
              <a:latin typeface="Abadi" panose="020B0604020104020204" pitchFamily="34" charset="0"/>
            </a:rPr>
            <a:t>L2</a:t>
          </a:r>
          <a:endParaRPr lang="en-NG" sz="1050">
            <a:latin typeface="Abadi" panose="020B0604020104020204" pitchFamily="34" charset="0"/>
          </a:endParaRPr>
        </a:p>
      </xdr:txBody>
    </xdr:sp>
    <xdr:clientData/>
  </xdr:twoCellAnchor>
  <xdr:twoCellAnchor>
    <xdr:from>
      <xdr:col>3</xdr:col>
      <xdr:colOff>19050</xdr:colOff>
      <xdr:row>101</xdr:row>
      <xdr:rowOff>6350</xdr:rowOff>
    </xdr:from>
    <xdr:to>
      <xdr:col>4</xdr:col>
      <xdr:colOff>6650</xdr:colOff>
      <xdr:row>102</xdr:row>
      <xdr:rowOff>199150</xdr:rowOff>
    </xdr:to>
    <xdr:sp macro="" textlink="">
      <xdr:nvSpPr>
        <xdr:cNvPr id="104" name="TextBox 103">
          <a:extLst>
            <a:ext uri="{FF2B5EF4-FFF2-40B4-BE49-F238E27FC236}">
              <a16:creationId xmlns:a16="http://schemas.microsoft.com/office/drawing/2014/main" id="{B0866FFC-3F67-4A2B-B5A1-B2507A9132F3}"/>
            </a:ext>
          </a:extLst>
        </xdr:cNvPr>
        <xdr:cNvSpPr txBox="1"/>
      </xdr:nvSpPr>
      <xdr:spPr>
        <a:xfrm>
          <a:off x="2076450" y="21990050"/>
          <a:ext cx="648000" cy="396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050">
              <a:latin typeface="Abadi" panose="020B0604020104020204" pitchFamily="34" charset="0"/>
            </a:rPr>
            <a:t>Voltage</a:t>
          </a:r>
        </a:p>
        <a:p>
          <a:pPr algn="ctr"/>
          <a:r>
            <a:rPr lang="en-GB" sz="1050">
              <a:latin typeface="Abadi" panose="020B0604020104020204" pitchFamily="34" charset="0"/>
            </a:rPr>
            <a:t>L3</a:t>
          </a:r>
          <a:endParaRPr lang="en-NG" sz="1050">
            <a:latin typeface="Abadi" panose="020B0604020104020204" pitchFamily="34" charset="0"/>
          </a:endParaRPr>
        </a:p>
      </xdr:txBody>
    </xdr:sp>
    <xdr:clientData/>
  </xdr:twoCellAnchor>
  <xdr:twoCellAnchor>
    <xdr:from>
      <xdr:col>4</xdr:col>
      <xdr:colOff>57150</xdr:colOff>
      <xdr:row>101</xdr:row>
      <xdr:rowOff>12700</xdr:rowOff>
    </xdr:from>
    <xdr:to>
      <xdr:col>4</xdr:col>
      <xdr:colOff>705150</xdr:colOff>
      <xdr:row>103</xdr:row>
      <xdr:rowOff>2300</xdr:rowOff>
    </xdr:to>
    <xdr:sp macro="" textlink="">
      <xdr:nvSpPr>
        <xdr:cNvPr id="105" name="TextBox 104">
          <a:extLst>
            <a:ext uri="{FF2B5EF4-FFF2-40B4-BE49-F238E27FC236}">
              <a16:creationId xmlns:a16="http://schemas.microsoft.com/office/drawing/2014/main" id="{B40FACED-82A9-4DD5-B2F0-12D4A58996D0}"/>
            </a:ext>
          </a:extLst>
        </xdr:cNvPr>
        <xdr:cNvSpPr txBox="1"/>
      </xdr:nvSpPr>
      <xdr:spPr>
        <a:xfrm>
          <a:off x="2774950" y="21996400"/>
          <a:ext cx="648000" cy="396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050">
              <a:latin typeface="Abadi" panose="020B0604020104020204" pitchFamily="34" charset="0"/>
            </a:rPr>
            <a:t>Current</a:t>
          </a:r>
        </a:p>
        <a:p>
          <a:pPr algn="ctr"/>
          <a:r>
            <a:rPr lang="en-GB" sz="1050">
              <a:latin typeface="Abadi" panose="020B0604020104020204" pitchFamily="34" charset="0"/>
            </a:rPr>
            <a:t>L1</a:t>
          </a:r>
          <a:endParaRPr lang="en-NG" sz="1050">
            <a:latin typeface="Abadi" panose="020B0604020104020204" pitchFamily="34" charset="0"/>
          </a:endParaRPr>
        </a:p>
      </xdr:txBody>
    </xdr:sp>
    <xdr:clientData/>
  </xdr:twoCellAnchor>
  <xdr:twoCellAnchor>
    <xdr:from>
      <xdr:col>5</xdr:col>
      <xdr:colOff>57150</xdr:colOff>
      <xdr:row>101</xdr:row>
      <xdr:rowOff>12700</xdr:rowOff>
    </xdr:from>
    <xdr:to>
      <xdr:col>6</xdr:col>
      <xdr:colOff>44750</xdr:colOff>
      <xdr:row>103</xdr:row>
      <xdr:rowOff>2300</xdr:rowOff>
    </xdr:to>
    <xdr:sp macro="" textlink="">
      <xdr:nvSpPr>
        <xdr:cNvPr id="106" name="TextBox 105">
          <a:extLst>
            <a:ext uri="{FF2B5EF4-FFF2-40B4-BE49-F238E27FC236}">
              <a16:creationId xmlns:a16="http://schemas.microsoft.com/office/drawing/2014/main" id="{AF5F3031-F6FB-4F6D-86CA-E506B13ED23A}"/>
            </a:ext>
          </a:extLst>
        </xdr:cNvPr>
        <xdr:cNvSpPr txBox="1"/>
      </xdr:nvSpPr>
      <xdr:spPr>
        <a:xfrm>
          <a:off x="3530600" y="21996400"/>
          <a:ext cx="648000" cy="396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050">
              <a:latin typeface="Abadi" panose="020B0604020104020204" pitchFamily="34" charset="0"/>
            </a:rPr>
            <a:t>Current</a:t>
          </a:r>
        </a:p>
        <a:p>
          <a:pPr algn="ctr"/>
          <a:r>
            <a:rPr lang="en-GB" sz="1050">
              <a:latin typeface="Abadi" panose="020B0604020104020204" pitchFamily="34" charset="0"/>
            </a:rPr>
            <a:t>L2</a:t>
          </a:r>
          <a:endParaRPr lang="en-NG" sz="1050">
            <a:latin typeface="Abadi" panose="020B0604020104020204" pitchFamily="34" charset="0"/>
          </a:endParaRPr>
        </a:p>
      </xdr:txBody>
    </xdr:sp>
    <xdr:clientData/>
  </xdr:twoCellAnchor>
  <xdr:twoCellAnchor>
    <xdr:from>
      <xdr:col>6</xdr:col>
      <xdr:colOff>107950</xdr:colOff>
      <xdr:row>101</xdr:row>
      <xdr:rowOff>12700</xdr:rowOff>
    </xdr:from>
    <xdr:to>
      <xdr:col>7</xdr:col>
      <xdr:colOff>13000</xdr:colOff>
      <xdr:row>103</xdr:row>
      <xdr:rowOff>2300</xdr:rowOff>
    </xdr:to>
    <xdr:sp macro="" textlink="">
      <xdr:nvSpPr>
        <xdr:cNvPr id="107" name="TextBox 106">
          <a:extLst>
            <a:ext uri="{FF2B5EF4-FFF2-40B4-BE49-F238E27FC236}">
              <a16:creationId xmlns:a16="http://schemas.microsoft.com/office/drawing/2014/main" id="{C8E7B2B1-5925-48B6-B25F-02DD92CEE212}"/>
            </a:ext>
          </a:extLst>
        </xdr:cNvPr>
        <xdr:cNvSpPr txBox="1"/>
      </xdr:nvSpPr>
      <xdr:spPr>
        <a:xfrm>
          <a:off x="4241800" y="21996400"/>
          <a:ext cx="648000" cy="396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050">
              <a:latin typeface="Abadi" panose="020B0604020104020204" pitchFamily="34" charset="0"/>
            </a:rPr>
            <a:t>Current</a:t>
          </a:r>
        </a:p>
        <a:p>
          <a:pPr algn="ctr"/>
          <a:r>
            <a:rPr lang="en-GB" sz="1050">
              <a:latin typeface="Abadi" panose="020B0604020104020204" pitchFamily="34" charset="0"/>
            </a:rPr>
            <a:t>L3</a:t>
          </a:r>
          <a:endParaRPr lang="en-NG" sz="1050">
            <a:latin typeface="Abadi" panose="020B0604020104020204" pitchFamily="34" charset="0"/>
          </a:endParaRPr>
        </a:p>
      </xdr:txBody>
    </xdr:sp>
    <xdr:clientData/>
  </xdr:twoCellAnchor>
  <xdr:twoCellAnchor>
    <xdr:from>
      <xdr:col>9</xdr:col>
      <xdr:colOff>12700</xdr:colOff>
      <xdr:row>101</xdr:row>
      <xdr:rowOff>12700</xdr:rowOff>
    </xdr:from>
    <xdr:to>
      <xdr:col>9</xdr:col>
      <xdr:colOff>895650</xdr:colOff>
      <xdr:row>103</xdr:row>
      <xdr:rowOff>2300</xdr:rowOff>
    </xdr:to>
    <xdr:sp macro="" textlink="">
      <xdr:nvSpPr>
        <xdr:cNvPr id="108" name="TextBox 107">
          <a:extLst>
            <a:ext uri="{FF2B5EF4-FFF2-40B4-BE49-F238E27FC236}">
              <a16:creationId xmlns:a16="http://schemas.microsoft.com/office/drawing/2014/main" id="{DD578343-8C80-4BFD-BA3C-DB4223B8981D}"/>
            </a:ext>
          </a:extLst>
        </xdr:cNvPr>
        <xdr:cNvSpPr txBox="1"/>
      </xdr:nvSpPr>
      <xdr:spPr>
        <a:xfrm>
          <a:off x="5670550" y="21996400"/>
          <a:ext cx="882950" cy="396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050">
              <a:latin typeface="Abadi" panose="020B0604020104020204" pitchFamily="34" charset="0"/>
            </a:rPr>
            <a:t>Total Power</a:t>
          </a:r>
        </a:p>
        <a:p>
          <a:pPr algn="ctr"/>
          <a:r>
            <a:rPr lang="en-GB" sz="1050">
              <a:latin typeface="Abadi" panose="020B0604020104020204" pitchFamily="34" charset="0"/>
            </a:rPr>
            <a:t>(kVA)</a:t>
          </a:r>
          <a:endParaRPr lang="en-NG" sz="1050">
            <a:latin typeface="Abadi" panose="020B0604020104020204" pitchFamily="34" charset="0"/>
          </a:endParaRPr>
        </a:p>
      </xdr:txBody>
    </xdr:sp>
    <xdr:clientData/>
  </xdr:twoCellAnchor>
  <xdr:twoCellAnchor>
    <xdr:from>
      <xdr:col>0</xdr:col>
      <xdr:colOff>0</xdr:colOff>
      <xdr:row>128</xdr:row>
      <xdr:rowOff>0</xdr:rowOff>
    </xdr:from>
    <xdr:to>
      <xdr:col>1</xdr:col>
      <xdr:colOff>95600</xdr:colOff>
      <xdr:row>128</xdr:row>
      <xdr:rowOff>196850</xdr:rowOff>
    </xdr:to>
    <xdr:sp macro="" textlink="">
      <xdr:nvSpPr>
        <xdr:cNvPr id="109" name="TextBox 108">
          <a:extLst>
            <a:ext uri="{FF2B5EF4-FFF2-40B4-BE49-F238E27FC236}">
              <a16:creationId xmlns:a16="http://schemas.microsoft.com/office/drawing/2014/main" id="{206BD420-ACEC-49F4-B23B-75B1F99A08FD}"/>
            </a:ext>
          </a:extLst>
        </xdr:cNvPr>
        <xdr:cNvSpPr txBox="1"/>
      </xdr:nvSpPr>
      <xdr:spPr>
        <a:xfrm>
          <a:off x="0" y="27628850"/>
          <a:ext cx="756000" cy="1968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GB" sz="1050">
              <a:latin typeface="Abadi" panose="020B0604020104020204" pitchFamily="34" charset="0"/>
            </a:rPr>
            <a:t>03:15</a:t>
          </a:r>
          <a:r>
            <a:rPr lang="en-GB" sz="1050" baseline="0">
              <a:latin typeface="Abadi" panose="020B0604020104020204" pitchFamily="34" charset="0"/>
            </a:rPr>
            <a:t> pm</a:t>
          </a:r>
          <a:endParaRPr lang="en-NG" sz="1050">
            <a:latin typeface="Abadi" panose="020B0604020104020204" pitchFamily="34" charset="0"/>
          </a:endParaRPr>
        </a:p>
      </xdr:txBody>
    </xdr:sp>
    <xdr:clientData/>
  </xdr:twoCellAnchor>
  <xdr:twoCellAnchor>
    <xdr:from>
      <xdr:col>0</xdr:col>
      <xdr:colOff>0</xdr:colOff>
      <xdr:row>129</xdr:row>
      <xdr:rowOff>0</xdr:rowOff>
    </xdr:from>
    <xdr:to>
      <xdr:col>1</xdr:col>
      <xdr:colOff>95600</xdr:colOff>
      <xdr:row>129</xdr:row>
      <xdr:rowOff>203200</xdr:rowOff>
    </xdr:to>
    <xdr:sp macro="" textlink="">
      <xdr:nvSpPr>
        <xdr:cNvPr id="110" name="TextBox 109">
          <a:extLst>
            <a:ext uri="{FF2B5EF4-FFF2-40B4-BE49-F238E27FC236}">
              <a16:creationId xmlns:a16="http://schemas.microsoft.com/office/drawing/2014/main" id="{2C337995-FF04-4A35-94BF-2D2CB308A9C6}"/>
            </a:ext>
          </a:extLst>
        </xdr:cNvPr>
        <xdr:cNvSpPr txBox="1"/>
      </xdr:nvSpPr>
      <xdr:spPr>
        <a:xfrm>
          <a:off x="0" y="27838400"/>
          <a:ext cx="756000" cy="2032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n-GB" sz="1050">
              <a:latin typeface="Abadi" panose="020B0604020104020204" pitchFamily="34" charset="0"/>
            </a:rPr>
            <a:t>03:30 pm</a:t>
          </a:r>
          <a:endParaRPr lang="en-NG" sz="1050">
            <a:latin typeface="Abadi" panose="020B0604020104020204" pitchFamily="34" charset="0"/>
          </a:endParaRPr>
        </a:p>
      </xdr:txBody>
    </xdr:sp>
    <xdr:clientData/>
  </xdr:twoCellAnchor>
  <xdr:twoCellAnchor>
    <xdr:from>
      <xdr:col>0</xdr:col>
      <xdr:colOff>0</xdr:colOff>
      <xdr:row>130</xdr:row>
      <xdr:rowOff>0</xdr:rowOff>
    </xdr:from>
    <xdr:to>
      <xdr:col>1</xdr:col>
      <xdr:colOff>95600</xdr:colOff>
      <xdr:row>130</xdr:row>
      <xdr:rowOff>203200</xdr:rowOff>
    </xdr:to>
    <xdr:sp macro="" textlink="">
      <xdr:nvSpPr>
        <xdr:cNvPr id="111" name="TextBox 110">
          <a:extLst>
            <a:ext uri="{FF2B5EF4-FFF2-40B4-BE49-F238E27FC236}">
              <a16:creationId xmlns:a16="http://schemas.microsoft.com/office/drawing/2014/main" id="{B828ECC8-4D0A-427D-A4A4-50B99124AB87}"/>
            </a:ext>
          </a:extLst>
        </xdr:cNvPr>
        <xdr:cNvSpPr txBox="1"/>
      </xdr:nvSpPr>
      <xdr:spPr>
        <a:xfrm>
          <a:off x="0" y="28047950"/>
          <a:ext cx="756000" cy="2032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GB" sz="1050">
              <a:latin typeface="Abadi" panose="020B0604020104020204" pitchFamily="34" charset="0"/>
            </a:rPr>
            <a:t>03:45 pm</a:t>
          </a:r>
          <a:endParaRPr lang="en-NG" sz="1050">
            <a:latin typeface="Abadi" panose="020B0604020104020204" pitchFamily="34" charset="0"/>
          </a:endParaRPr>
        </a:p>
      </xdr:txBody>
    </xdr:sp>
    <xdr:clientData/>
  </xdr:twoCellAnchor>
  <xdr:twoCellAnchor>
    <xdr:from>
      <xdr:col>0</xdr:col>
      <xdr:colOff>0</xdr:colOff>
      <xdr:row>131</xdr:row>
      <xdr:rowOff>6350</xdr:rowOff>
    </xdr:from>
    <xdr:to>
      <xdr:col>1</xdr:col>
      <xdr:colOff>95600</xdr:colOff>
      <xdr:row>132</xdr:row>
      <xdr:rowOff>0</xdr:rowOff>
    </xdr:to>
    <xdr:sp macro="" textlink="">
      <xdr:nvSpPr>
        <xdr:cNvPr id="112" name="TextBox 111">
          <a:extLst>
            <a:ext uri="{FF2B5EF4-FFF2-40B4-BE49-F238E27FC236}">
              <a16:creationId xmlns:a16="http://schemas.microsoft.com/office/drawing/2014/main" id="{A762BE4C-1D76-4823-9AEF-2AA265C312CC}"/>
            </a:ext>
          </a:extLst>
        </xdr:cNvPr>
        <xdr:cNvSpPr txBox="1"/>
      </xdr:nvSpPr>
      <xdr:spPr>
        <a:xfrm>
          <a:off x="0" y="28263850"/>
          <a:ext cx="756000" cy="2032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GB" sz="1050">
              <a:latin typeface="Abadi" panose="020B0604020104020204" pitchFamily="34" charset="0"/>
            </a:rPr>
            <a:t>04:00 pm</a:t>
          </a:r>
          <a:endParaRPr lang="en-NG" sz="1050">
            <a:latin typeface="Abadi" panose="020B0604020104020204" pitchFamily="34" charset="0"/>
          </a:endParaRPr>
        </a:p>
      </xdr:txBody>
    </xdr:sp>
    <xdr:clientData/>
  </xdr:twoCellAnchor>
  <xdr:twoCellAnchor>
    <xdr:from>
      <xdr:col>0</xdr:col>
      <xdr:colOff>400050</xdr:colOff>
      <xdr:row>133</xdr:row>
      <xdr:rowOff>88900</xdr:rowOff>
    </xdr:from>
    <xdr:to>
      <xdr:col>6</xdr:col>
      <xdr:colOff>10200</xdr:colOff>
      <xdr:row>134</xdr:row>
      <xdr:rowOff>144050</xdr:rowOff>
    </xdr:to>
    <xdr:sp macro="" textlink="">
      <xdr:nvSpPr>
        <xdr:cNvPr id="113" name="TextBox 112">
          <a:extLst>
            <a:ext uri="{FF2B5EF4-FFF2-40B4-BE49-F238E27FC236}">
              <a16:creationId xmlns:a16="http://schemas.microsoft.com/office/drawing/2014/main" id="{7198A794-9558-48AD-9228-8842CC6A1E50}"/>
            </a:ext>
          </a:extLst>
        </xdr:cNvPr>
        <xdr:cNvSpPr txBox="1"/>
      </xdr:nvSpPr>
      <xdr:spPr>
        <a:xfrm>
          <a:off x="400050" y="28759150"/>
          <a:ext cx="3744000" cy="252000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GB" sz="1050" b="1">
              <a:solidFill>
                <a:srgbClr val="002060"/>
              </a:solidFill>
              <a:latin typeface="Century Gothic" panose="020B0502020202020204" pitchFamily="34" charset="0"/>
            </a:rPr>
            <a:t>Power Quality Summary</a:t>
          </a:r>
          <a:endParaRPr lang="en-NG" sz="1050" b="1">
            <a:solidFill>
              <a:srgbClr val="002060"/>
            </a:solidFill>
            <a:latin typeface="Century Gothic" panose="020B0502020202020204" pitchFamily="34" charset="0"/>
          </a:endParaRPr>
        </a:p>
      </xdr:txBody>
    </xdr:sp>
    <xdr:clientData/>
  </xdr:twoCellAnchor>
  <xdr:twoCellAnchor>
    <xdr:from>
      <xdr:col>0</xdr:col>
      <xdr:colOff>0</xdr:colOff>
      <xdr:row>92</xdr:row>
      <xdr:rowOff>38100</xdr:rowOff>
    </xdr:from>
    <xdr:to>
      <xdr:col>12</xdr:col>
      <xdr:colOff>0</xdr:colOff>
      <xdr:row>92</xdr:row>
      <xdr:rowOff>190500</xdr:rowOff>
    </xdr:to>
    <xdr:sp macro="" textlink="">
      <xdr:nvSpPr>
        <xdr:cNvPr id="120" name="Rectangle 119">
          <a:extLst>
            <a:ext uri="{FF2B5EF4-FFF2-40B4-BE49-F238E27FC236}">
              <a16:creationId xmlns:a16="http://schemas.microsoft.com/office/drawing/2014/main" id="{C8E9517F-723A-4EEA-8099-626BB819D8C0}"/>
            </a:ext>
          </a:extLst>
        </xdr:cNvPr>
        <xdr:cNvSpPr/>
      </xdr:nvSpPr>
      <xdr:spPr>
        <a:xfrm>
          <a:off x="0" y="20231100"/>
          <a:ext cx="6731000" cy="152400"/>
        </a:xfrm>
        <a:prstGeom prst="rect">
          <a:avLst/>
        </a:prstGeom>
        <a:solidFill>
          <a:srgbClr val="00206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G" sz="1100"/>
        </a:p>
      </xdr:txBody>
    </xdr:sp>
    <xdr:clientData/>
  </xdr:twoCellAnchor>
  <xdr:twoCellAnchor>
    <xdr:from>
      <xdr:col>0</xdr:col>
      <xdr:colOff>0</xdr:colOff>
      <xdr:row>141</xdr:row>
      <xdr:rowOff>38100</xdr:rowOff>
    </xdr:from>
    <xdr:to>
      <xdr:col>12</xdr:col>
      <xdr:colOff>0</xdr:colOff>
      <xdr:row>141</xdr:row>
      <xdr:rowOff>190500</xdr:rowOff>
    </xdr:to>
    <xdr:sp macro="" textlink="">
      <xdr:nvSpPr>
        <xdr:cNvPr id="121" name="Rectangle 120">
          <a:extLst>
            <a:ext uri="{FF2B5EF4-FFF2-40B4-BE49-F238E27FC236}">
              <a16:creationId xmlns:a16="http://schemas.microsoft.com/office/drawing/2014/main" id="{122B67E1-5D54-410F-924B-E1FC09B81217}"/>
            </a:ext>
          </a:extLst>
        </xdr:cNvPr>
        <xdr:cNvSpPr/>
      </xdr:nvSpPr>
      <xdr:spPr>
        <a:xfrm>
          <a:off x="0" y="30333950"/>
          <a:ext cx="6731000" cy="152400"/>
        </a:xfrm>
        <a:prstGeom prst="rect">
          <a:avLst/>
        </a:prstGeom>
        <a:solidFill>
          <a:srgbClr val="00206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G" sz="1100"/>
        </a:p>
      </xdr:txBody>
    </xdr:sp>
    <xdr:clientData/>
  </xdr:twoCellAnchor>
  <xdr:twoCellAnchor>
    <xdr:from>
      <xdr:col>0</xdr:col>
      <xdr:colOff>298450</xdr:colOff>
      <xdr:row>146</xdr:row>
      <xdr:rowOff>171450</xdr:rowOff>
    </xdr:from>
    <xdr:to>
      <xdr:col>9</xdr:col>
      <xdr:colOff>904600</xdr:colOff>
      <xdr:row>147</xdr:row>
      <xdr:rowOff>190600</xdr:rowOff>
    </xdr:to>
    <xdr:sp macro="" textlink="">
      <xdr:nvSpPr>
        <xdr:cNvPr id="122" name="TextBox 121">
          <a:extLst>
            <a:ext uri="{FF2B5EF4-FFF2-40B4-BE49-F238E27FC236}">
              <a16:creationId xmlns:a16="http://schemas.microsoft.com/office/drawing/2014/main" id="{B466516B-0559-4798-83F3-1FD142A506E6}"/>
            </a:ext>
          </a:extLst>
        </xdr:cNvPr>
        <xdr:cNvSpPr txBox="1"/>
      </xdr:nvSpPr>
      <xdr:spPr>
        <a:xfrm>
          <a:off x="298450" y="31451550"/>
          <a:ext cx="6264000" cy="216000"/>
        </a:xfrm>
        <a:prstGeom prst="rect">
          <a:avLst/>
        </a:prstGeom>
        <a:solidFill>
          <a:srgbClr val="00206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GB" sz="1050" b="1">
              <a:solidFill>
                <a:schemeClr val="bg1"/>
              </a:solidFill>
              <a:latin typeface="Berlin Sans FB Demi" panose="020E0802020502020306" pitchFamily="34" charset="0"/>
            </a:rPr>
            <a:t>LOAD COUNTS</a:t>
          </a:r>
          <a:endParaRPr lang="en-NG" sz="1050" b="1" i="1">
            <a:solidFill>
              <a:schemeClr val="bg1"/>
            </a:solidFill>
            <a:latin typeface="Berlin Sans FB Demi" panose="020E0802020502020306" pitchFamily="34" charset="0"/>
          </a:endParaRPr>
        </a:p>
      </xdr:txBody>
    </xdr:sp>
    <xdr:clientData/>
  </xdr:twoCellAnchor>
  <xdr:twoCellAnchor>
    <xdr:from>
      <xdr:col>1</xdr:col>
      <xdr:colOff>25400</xdr:colOff>
      <xdr:row>148</xdr:row>
      <xdr:rowOff>0</xdr:rowOff>
    </xdr:from>
    <xdr:to>
      <xdr:col>3</xdr:col>
      <xdr:colOff>622300</xdr:colOff>
      <xdr:row>149</xdr:row>
      <xdr:rowOff>12700</xdr:rowOff>
    </xdr:to>
    <xdr:sp macro="" textlink="">
      <xdr:nvSpPr>
        <xdr:cNvPr id="123" name="TextBox 122">
          <a:extLst>
            <a:ext uri="{FF2B5EF4-FFF2-40B4-BE49-F238E27FC236}">
              <a16:creationId xmlns:a16="http://schemas.microsoft.com/office/drawing/2014/main" id="{8252EB36-B929-4D47-A455-C82B8BDFF074}"/>
            </a:ext>
          </a:extLst>
        </xdr:cNvPr>
        <xdr:cNvSpPr txBox="1"/>
      </xdr:nvSpPr>
      <xdr:spPr>
        <a:xfrm>
          <a:off x="685800" y="31673800"/>
          <a:ext cx="1993900" cy="2159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050">
              <a:latin typeface="Abadi" panose="020B0604020104020204" pitchFamily="34" charset="0"/>
            </a:rPr>
            <a:t>Aplliances</a:t>
          </a:r>
          <a:endParaRPr lang="en-NG" sz="1050">
            <a:latin typeface="Abadi" panose="020B0604020104020204" pitchFamily="34" charset="0"/>
          </a:endParaRPr>
        </a:p>
      </xdr:txBody>
    </xdr:sp>
    <xdr:clientData/>
  </xdr:twoCellAnchor>
  <xdr:twoCellAnchor>
    <xdr:from>
      <xdr:col>4</xdr:col>
      <xdr:colOff>127000</xdr:colOff>
      <xdr:row>148</xdr:row>
      <xdr:rowOff>0</xdr:rowOff>
    </xdr:from>
    <xdr:to>
      <xdr:col>4</xdr:col>
      <xdr:colOff>667000</xdr:colOff>
      <xdr:row>148</xdr:row>
      <xdr:rowOff>196850</xdr:rowOff>
    </xdr:to>
    <xdr:sp macro="" textlink="">
      <xdr:nvSpPr>
        <xdr:cNvPr id="124" name="TextBox 123">
          <a:extLst>
            <a:ext uri="{FF2B5EF4-FFF2-40B4-BE49-F238E27FC236}">
              <a16:creationId xmlns:a16="http://schemas.microsoft.com/office/drawing/2014/main" id="{DF48983E-F534-4DAC-A362-F503399BE316}"/>
            </a:ext>
          </a:extLst>
        </xdr:cNvPr>
        <xdr:cNvSpPr txBox="1"/>
      </xdr:nvSpPr>
      <xdr:spPr>
        <a:xfrm>
          <a:off x="2927350" y="31673800"/>
          <a:ext cx="540000" cy="1968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050">
              <a:latin typeface="Abadi" panose="020B0604020104020204" pitchFamily="34" charset="0"/>
            </a:rPr>
            <a:t>Make</a:t>
          </a:r>
          <a:endParaRPr lang="en-NG" sz="1050">
            <a:latin typeface="Abadi" panose="020B0604020104020204" pitchFamily="34" charset="0"/>
          </a:endParaRPr>
        </a:p>
      </xdr:txBody>
    </xdr:sp>
    <xdr:clientData/>
  </xdr:twoCellAnchor>
  <xdr:twoCellAnchor>
    <xdr:from>
      <xdr:col>5</xdr:col>
      <xdr:colOff>584200</xdr:colOff>
      <xdr:row>148</xdr:row>
      <xdr:rowOff>0</xdr:rowOff>
    </xdr:from>
    <xdr:to>
      <xdr:col>7</xdr:col>
      <xdr:colOff>44450</xdr:colOff>
      <xdr:row>149</xdr:row>
      <xdr:rowOff>0</xdr:rowOff>
    </xdr:to>
    <xdr:sp macro="" textlink="">
      <xdr:nvSpPr>
        <xdr:cNvPr id="125" name="TextBox 124">
          <a:extLst>
            <a:ext uri="{FF2B5EF4-FFF2-40B4-BE49-F238E27FC236}">
              <a16:creationId xmlns:a16="http://schemas.microsoft.com/office/drawing/2014/main" id="{37AD81C6-786B-4AF9-8AC3-25CDEF5C29CD}"/>
            </a:ext>
          </a:extLst>
        </xdr:cNvPr>
        <xdr:cNvSpPr txBox="1"/>
      </xdr:nvSpPr>
      <xdr:spPr>
        <a:xfrm>
          <a:off x="4057650" y="31673800"/>
          <a:ext cx="863600" cy="2032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050">
              <a:latin typeface="Abadi" panose="020B0604020104020204" pitchFamily="34" charset="0"/>
            </a:rPr>
            <a:t>Qty</a:t>
          </a:r>
          <a:endParaRPr lang="en-NG" sz="1050">
            <a:latin typeface="Abadi" panose="020B0604020104020204" pitchFamily="34" charset="0"/>
          </a:endParaRPr>
        </a:p>
      </xdr:txBody>
    </xdr:sp>
    <xdr:clientData/>
  </xdr:twoCellAnchor>
  <xdr:twoCellAnchor>
    <xdr:from>
      <xdr:col>6</xdr:col>
      <xdr:colOff>692150</xdr:colOff>
      <xdr:row>148</xdr:row>
      <xdr:rowOff>0</xdr:rowOff>
    </xdr:from>
    <xdr:to>
      <xdr:col>9</xdr:col>
      <xdr:colOff>31750</xdr:colOff>
      <xdr:row>149</xdr:row>
      <xdr:rowOff>0</xdr:rowOff>
    </xdr:to>
    <xdr:sp macro="" textlink="">
      <xdr:nvSpPr>
        <xdr:cNvPr id="126" name="TextBox 125">
          <a:extLst>
            <a:ext uri="{FF2B5EF4-FFF2-40B4-BE49-F238E27FC236}">
              <a16:creationId xmlns:a16="http://schemas.microsoft.com/office/drawing/2014/main" id="{80D9D6E2-A708-4841-8AC5-E916196FBB2A}"/>
            </a:ext>
          </a:extLst>
        </xdr:cNvPr>
        <xdr:cNvSpPr txBox="1"/>
      </xdr:nvSpPr>
      <xdr:spPr>
        <a:xfrm>
          <a:off x="4826000" y="31673800"/>
          <a:ext cx="863600" cy="2032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050">
              <a:latin typeface="Abadi" panose="020B0604020104020204" pitchFamily="34" charset="0"/>
            </a:rPr>
            <a:t>Wattage</a:t>
          </a:r>
          <a:endParaRPr lang="en-NG" sz="1050">
            <a:latin typeface="Abadi" panose="020B0604020104020204" pitchFamily="34" charset="0"/>
          </a:endParaRPr>
        </a:p>
      </xdr:txBody>
    </xdr:sp>
    <xdr:clientData/>
  </xdr:twoCellAnchor>
  <xdr:twoCellAnchor>
    <xdr:from>
      <xdr:col>9</xdr:col>
      <xdr:colOff>19050</xdr:colOff>
      <xdr:row>148</xdr:row>
      <xdr:rowOff>0</xdr:rowOff>
    </xdr:from>
    <xdr:to>
      <xdr:col>9</xdr:col>
      <xdr:colOff>882650</xdr:colOff>
      <xdr:row>149</xdr:row>
      <xdr:rowOff>0</xdr:rowOff>
    </xdr:to>
    <xdr:sp macro="" textlink="">
      <xdr:nvSpPr>
        <xdr:cNvPr id="127" name="TextBox 126">
          <a:extLst>
            <a:ext uri="{FF2B5EF4-FFF2-40B4-BE49-F238E27FC236}">
              <a16:creationId xmlns:a16="http://schemas.microsoft.com/office/drawing/2014/main" id="{59BEE851-5810-42CA-8531-0169B40F1F6E}"/>
            </a:ext>
          </a:extLst>
        </xdr:cNvPr>
        <xdr:cNvSpPr txBox="1"/>
      </xdr:nvSpPr>
      <xdr:spPr>
        <a:xfrm>
          <a:off x="5676900" y="31673800"/>
          <a:ext cx="863600" cy="2032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050">
              <a:latin typeface="Abadi" panose="020B0604020104020204" pitchFamily="34" charset="0"/>
            </a:rPr>
            <a:t>Total Power</a:t>
          </a:r>
          <a:endParaRPr lang="en-NG" sz="1050">
            <a:latin typeface="Abadi" panose="020B0604020104020204" pitchFamily="34" charset="0"/>
          </a:endParaRPr>
        </a:p>
      </xdr:txBody>
    </xdr:sp>
    <xdr:clientData/>
  </xdr:twoCellAnchor>
  <xdr:twoCellAnchor>
    <xdr:from>
      <xdr:col>0</xdr:col>
      <xdr:colOff>0</xdr:colOff>
      <xdr:row>190</xdr:row>
      <xdr:rowOff>50800</xdr:rowOff>
    </xdr:from>
    <xdr:to>
      <xdr:col>12</xdr:col>
      <xdr:colOff>0</xdr:colOff>
      <xdr:row>191</xdr:row>
      <xdr:rowOff>0</xdr:rowOff>
    </xdr:to>
    <xdr:sp macro="" textlink="">
      <xdr:nvSpPr>
        <xdr:cNvPr id="128" name="Rectangle 127">
          <a:extLst>
            <a:ext uri="{FF2B5EF4-FFF2-40B4-BE49-F238E27FC236}">
              <a16:creationId xmlns:a16="http://schemas.microsoft.com/office/drawing/2014/main" id="{F9AA4EEA-ABE5-4A91-ABAE-FC27FD8E163F}"/>
            </a:ext>
          </a:extLst>
        </xdr:cNvPr>
        <xdr:cNvSpPr/>
      </xdr:nvSpPr>
      <xdr:spPr>
        <a:xfrm>
          <a:off x="0" y="40513000"/>
          <a:ext cx="6731000" cy="146050"/>
        </a:xfrm>
        <a:prstGeom prst="rect">
          <a:avLst/>
        </a:prstGeom>
        <a:solidFill>
          <a:srgbClr val="00206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G" sz="1100"/>
        </a:p>
      </xdr:txBody>
    </xdr:sp>
    <xdr:clientData/>
  </xdr:twoCellAnchor>
  <xdr:twoCellAnchor>
    <xdr:from>
      <xdr:col>0</xdr:col>
      <xdr:colOff>95250</xdr:colOff>
      <xdr:row>98</xdr:row>
      <xdr:rowOff>114300</xdr:rowOff>
    </xdr:from>
    <xdr:to>
      <xdr:col>9</xdr:col>
      <xdr:colOff>774700</xdr:colOff>
      <xdr:row>99</xdr:row>
      <xdr:rowOff>114300</xdr:rowOff>
    </xdr:to>
    <xdr:sp macro="" textlink="">
      <xdr:nvSpPr>
        <xdr:cNvPr id="129" name="TextBox 128">
          <a:extLst>
            <a:ext uri="{FF2B5EF4-FFF2-40B4-BE49-F238E27FC236}">
              <a16:creationId xmlns:a16="http://schemas.microsoft.com/office/drawing/2014/main" id="{74B13973-C7DB-4007-8171-9BB90BB86FA5}"/>
            </a:ext>
          </a:extLst>
        </xdr:cNvPr>
        <xdr:cNvSpPr txBox="1"/>
      </xdr:nvSpPr>
      <xdr:spPr>
        <a:xfrm>
          <a:off x="95250" y="21488400"/>
          <a:ext cx="6337300" cy="1968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n-GB" sz="1000" b="1">
              <a:solidFill>
                <a:srgbClr val="FF0000"/>
              </a:solidFill>
              <a:latin typeface="Abadi" panose="020B0604020104020204" pitchFamily="34" charset="0"/>
            </a:rPr>
            <a:t>IMPORTANT NOTICE:   </a:t>
          </a:r>
          <a:r>
            <a:rPr lang="en-GB" sz="900" i="1">
              <a:solidFill>
                <a:srgbClr val="FF0000"/>
              </a:solidFill>
              <a:latin typeface="Abadi" panose="020B0604020104020204" pitchFamily="34" charset="0"/>
            </a:rPr>
            <a:t>Take readings every 15 minutes for 3-hours (preferably between 10 AM to 4 PM)</a:t>
          </a:r>
          <a:endParaRPr lang="en-NG" sz="1050" i="1">
            <a:solidFill>
              <a:srgbClr val="FF0000"/>
            </a:solidFill>
            <a:latin typeface="Abadi" panose="020B0604020104020204" pitchFamily="34" charset="0"/>
          </a:endParaRPr>
        </a:p>
      </xdr:txBody>
    </xdr:sp>
    <xdr:clientData/>
  </xdr:twoCellAnchor>
  <xdr:twoCellAnchor>
    <xdr:from>
      <xdr:col>14</xdr:col>
      <xdr:colOff>25400</xdr:colOff>
      <xdr:row>148</xdr:row>
      <xdr:rowOff>0</xdr:rowOff>
    </xdr:from>
    <xdr:to>
      <xdr:col>16</xdr:col>
      <xdr:colOff>622300</xdr:colOff>
      <xdr:row>149</xdr:row>
      <xdr:rowOff>12700</xdr:rowOff>
    </xdr:to>
    <xdr:sp macro="" textlink="">
      <xdr:nvSpPr>
        <xdr:cNvPr id="130" name="TextBox 129">
          <a:extLst>
            <a:ext uri="{FF2B5EF4-FFF2-40B4-BE49-F238E27FC236}">
              <a16:creationId xmlns:a16="http://schemas.microsoft.com/office/drawing/2014/main" id="{A8BD4C10-03FA-4A2D-9EDF-1026B5B3B885}"/>
            </a:ext>
          </a:extLst>
        </xdr:cNvPr>
        <xdr:cNvSpPr txBox="1"/>
      </xdr:nvSpPr>
      <xdr:spPr>
        <a:xfrm>
          <a:off x="6731000" y="31673800"/>
          <a:ext cx="0" cy="2159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050">
              <a:latin typeface="Abadi" panose="020B0604020104020204" pitchFamily="34" charset="0"/>
            </a:rPr>
            <a:t>Aplliances</a:t>
          </a:r>
          <a:endParaRPr lang="en-NG" sz="1050">
            <a:latin typeface="Abadi" panose="020B0604020104020204" pitchFamily="34" charset="0"/>
          </a:endParaRPr>
        </a:p>
      </xdr:txBody>
    </xdr:sp>
    <xdr:clientData/>
  </xdr:twoCellAnchor>
  <xdr:twoCellAnchor>
    <xdr:from>
      <xdr:col>6</xdr:col>
      <xdr:colOff>330200</xdr:colOff>
      <xdr:row>133</xdr:row>
      <xdr:rowOff>82550</xdr:rowOff>
    </xdr:from>
    <xdr:to>
      <xdr:col>9</xdr:col>
      <xdr:colOff>894200</xdr:colOff>
      <xdr:row>134</xdr:row>
      <xdr:rowOff>137700</xdr:rowOff>
    </xdr:to>
    <xdr:sp macro="" textlink="">
      <xdr:nvSpPr>
        <xdr:cNvPr id="132" name="TextBox 131">
          <a:extLst>
            <a:ext uri="{FF2B5EF4-FFF2-40B4-BE49-F238E27FC236}">
              <a16:creationId xmlns:a16="http://schemas.microsoft.com/office/drawing/2014/main" id="{F7B1246C-F7CC-4F0C-9592-20D3D5458C2B}"/>
            </a:ext>
          </a:extLst>
        </xdr:cNvPr>
        <xdr:cNvSpPr txBox="1"/>
      </xdr:nvSpPr>
      <xdr:spPr>
        <a:xfrm>
          <a:off x="4464050" y="28752800"/>
          <a:ext cx="2088000" cy="252000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GB" sz="1050" b="1">
              <a:solidFill>
                <a:srgbClr val="002060"/>
              </a:solidFill>
              <a:latin typeface="Century Gothic" panose="020B0502020202020204" pitchFamily="34" charset="0"/>
            </a:rPr>
            <a:t>Power Profile Summary</a:t>
          </a:r>
          <a:endParaRPr lang="en-NG" sz="1050" b="1">
            <a:solidFill>
              <a:srgbClr val="002060"/>
            </a:solidFill>
            <a:latin typeface="Century Gothic" panose="020B0502020202020204" pitchFamily="34" charset="0"/>
          </a:endParaRPr>
        </a:p>
      </xdr:txBody>
    </xdr:sp>
    <xdr:clientData/>
  </xdr:twoCellAnchor>
  <xdr:twoCellAnchor>
    <xdr:from>
      <xdr:col>6</xdr:col>
      <xdr:colOff>266700</xdr:colOff>
      <xdr:row>136</xdr:row>
      <xdr:rowOff>101600</xdr:rowOff>
    </xdr:from>
    <xdr:to>
      <xdr:col>8</xdr:col>
      <xdr:colOff>13100</xdr:colOff>
      <xdr:row>138</xdr:row>
      <xdr:rowOff>127000</xdr:rowOff>
    </xdr:to>
    <xdr:sp macro="" textlink="">
      <xdr:nvSpPr>
        <xdr:cNvPr id="134" name="TextBox 133">
          <a:extLst>
            <a:ext uri="{FF2B5EF4-FFF2-40B4-BE49-F238E27FC236}">
              <a16:creationId xmlns:a16="http://schemas.microsoft.com/office/drawing/2014/main" id="{E21AB20D-D76E-454C-934C-C9B3EECE41D8}"/>
            </a:ext>
          </a:extLst>
        </xdr:cNvPr>
        <xdr:cNvSpPr txBox="1"/>
      </xdr:nvSpPr>
      <xdr:spPr>
        <a:xfrm>
          <a:off x="4400550" y="29362400"/>
          <a:ext cx="610000" cy="438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n-GB" sz="1050">
              <a:latin typeface="Abadi" panose="020B0604020104020204" pitchFamily="34" charset="0"/>
            </a:rPr>
            <a:t>Peak</a:t>
          </a:r>
        </a:p>
        <a:p>
          <a:pPr algn="r"/>
          <a:r>
            <a:rPr lang="en-GB" sz="1050">
              <a:latin typeface="Abadi" panose="020B0604020104020204" pitchFamily="34" charset="0"/>
            </a:rPr>
            <a:t>Load:</a:t>
          </a:r>
          <a:endParaRPr lang="en-NG" sz="1050">
            <a:latin typeface="Abadi" panose="020B0604020104020204" pitchFamily="34" charset="0"/>
          </a:endParaRPr>
        </a:p>
      </xdr:txBody>
    </xdr:sp>
    <xdr:clientData/>
  </xdr:twoCellAnchor>
  <xdr:twoCellAnchor>
    <xdr:from>
      <xdr:col>6</xdr:col>
      <xdr:colOff>133350</xdr:colOff>
      <xdr:row>138</xdr:row>
      <xdr:rowOff>82550</xdr:rowOff>
    </xdr:from>
    <xdr:to>
      <xdr:col>8</xdr:col>
      <xdr:colOff>11050</xdr:colOff>
      <xdr:row>140</xdr:row>
      <xdr:rowOff>82550</xdr:rowOff>
    </xdr:to>
    <xdr:sp macro="" textlink="">
      <xdr:nvSpPr>
        <xdr:cNvPr id="135" name="TextBox 134">
          <a:extLst>
            <a:ext uri="{FF2B5EF4-FFF2-40B4-BE49-F238E27FC236}">
              <a16:creationId xmlns:a16="http://schemas.microsoft.com/office/drawing/2014/main" id="{E0CBA859-92B0-4DEB-90C3-0A7D315D4F37}"/>
            </a:ext>
          </a:extLst>
        </xdr:cNvPr>
        <xdr:cNvSpPr txBox="1"/>
      </xdr:nvSpPr>
      <xdr:spPr>
        <a:xfrm>
          <a:off x="4267200" y="29756100"/>
          <a:ext cx="741300" cy="419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n-GB" sz="1050">
              <a:latin typeface="Abadi" panose="020B0604020104020204" pitchFamily="34" charset="0"/>
            </a:rPr>
            <a:t>Average</a:t>
          </a:r>
        </a:p>
        <a:p>
          <a:pPr algn="r"/>
          <a:r>
            <a:rPr lang="en-GB" sz="1050">
              <a:latin typeface="Abadi" panose="020B0604020104020204" pitchFamily="34" charset="0"/>
            </a:rPr>
            <a:t>Load:</a:t>
          </a:r>
          <a:endParaRPr lang="en-NG" sz="1050">
            <a:latin typeface="Abadi" panose="020B0604020104020204" pitchFamily="34" charset="0"/>
          </a:endParaRPr>
        </a:p>
      </xdr:txBody>
    </xdr:sp>
    <xdr:clientData/>
  </xdr:twoCellAnchor>
  <xdr:twoCellAnchor>
    <xdr:from>
      <xdr:col>8</xdr:col>
      <xdr:colOff>114300</xdr:colOff>
      <xdr:row>135</xdr:row>
      <xdr:rowOff>190500</xdr:rowOff>
    </xdr:from>
    <xdr:to>
      <xdr:col>8</xdr:col>
      <xdr:colOff>552450</xdr:colOff>
      <xdr:row>137</xdr:row>
      <xdr:rowOff>38100</xdr:rowOff>
    </xdr:to>
    <xdr:sp macro="" textlink="">
      <xdr:nvSpPr>
        <xdr:cNvPr id="136" name="TextBox 135">
          <a:extLst>
            <a:ext uri="{FF2B5EF4-FFF2-40B4-BE49-F238E27FC236}">
              <a16:creationId xmlns:a16="http://schemas.microsoft.com/office/drawing/2014/main" id="{C5901A38-C4CF-43F3-9C59-679DF6056E98}"/>
            </a:ext>
          </a:extLst>
        </xdr:cNvPr>
        <xdr:cNvSpPr txBox="1"/>
      </xdr:nvSpPr>
      <xdr:spPr>
        <a:xfrm>
          <a:off x="5111750" y="29254450"/>
          <a:ext cx="438150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050">
              <a:latin typeface="Abadi" panose="020B0604020104020204" pitchFamily="34" charset="0"/>
            </a:rPr>
            <a:t>kVA</a:t>
          </a:r>
          <a:endParaRPr lang="en-NG" sz="1050">
            <a:latin typeface="Abadi" panose="020B0604020104020204" pitchFamily="34" charset="0"/>
          </a:endParaRPr>
        </a:p>
      </xdr:txBody>
    </xdr:sp>
    <xdr:clientData/>
  </xdr:twoCellAnchor>
  <xdr:twoCellAnchor>
    <xdr:from>
      <xdr:col>9</xdr:col>
      <xdr:colOff>266700</xdr:colOff>
      <xdr:row>136</xdr:row>
      <xdr:rowOff>0</xdr:rowOff>
    </xdr:from>
    <xdr:to>
      <xdr:col>9</xdr:col>
      <xdr:colOff>654050</xdr:colOff>
      <xdr:row>137</xdr:row>
      <xdr:rowOff>44450</xdr:rowOff>
    </xdr:to>
    <xdr:sp macro="" textlink="">
      <xdr:nvSpPr>
        <xdr:cNvPr id="138" name="TextBox 137">
          <a:extLst>
            <a:ext uri="{FF2B5EF4-FFF2-40B4-BE49-F238E27FC236}">
              <a16:creationId xmlns:a16="http://schemas.microsoft.com/office/drawing/2014/main" id="{C359FFF4-2EEA-454C-83FA-484DD8388311}"/>
            </a:ext>
          </a:extLst>
        </xdr:cNvPr>
        <xdr:cNvSpPr txBox="1"/>
      </xdr:nvSpPr>
      <xdr:spPr>
        <a:xfrm>
          <a:off x="5924550" y="29260800"/>
          <a:ext cx="387350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050">
              <a:latin typeface="Abadi" panose="020B0604020104020204" pitchFamily="34" charset="0"/>
            </a:rPr>
            <a:t>kW</a:t>
          </a:r>
          <a:endParaRPr lang="en-NG" sz="1050">
            <a:latin typeface="Abadi" panose="020B0604020104020204" pitchFamily="34" charset="0"/>
          </a:endParaRPr>
        </a:p>
      </xdr:txBody>
    </xdr:sp>
    <xdr:clientData/>
  </xdr:twoCellAnchor>
  <xdr:twoCellAnchor>
    <xdr:from>
      <xdr:col>0</xdr:col>
      <xdr:colOff>247650</xdr:colOff>
      <xdr:row>137</xdr:row>
      <xdr:rowOff>12700</xdr:rowOff>
    </xdr:from>
    <xdr:to>
      <xdr:col>1</xdr:col>
      <xdr:colOff>19050</xdr:colOff>
      <xdr:row>137</xdr:row>
      <xdr:rowOff>190500</xdr:rowOff>
    </xdr:to>
    <xdr:sp macro="" textlink="">
      <xdr:nvSpPr>
        <xdr:cNvPr id="151" name="TextBox 150">
          <a:extLst>
            <a:ext uri="{FF2B5EF4-FFF2-40B4-BE49-F238E27FC236}">
              <a16:creationId xmlns:a16="http://schemas.microsoft.com/office/drawing/2014/main" id="{FB93D463-393C-4DD9-A276-A6435788C91F}"/>
            </a:ext>
          </a:extLst>
        </xdr:cNvPr>
        <xdr:cNvSpPr txBox="1"/>
      </xdr:nvSpPr>
      <xdr:spPr>
        <a:xfrm>
          <a:off x="247650" y="29279850"/>
          <a:ext cx="431800" cy="177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n-GB" sz="1050">
              <a:latin typeface="Abadi" panose="020B0604020104020204" pitchFamily="34" charset="0"/>
            </a:rPr>
            <a:t>L1:</a:t>
          </a:r>
          <a:endParaRPr lang="en-NG" sz="1050">
            <a:latin typeface="Abadi" panose="020B0604020104020204" pitchFamily="34" charset="0"/>
          </a:endParaRPr>
        </a:p>
      </xdr:txBody>
    </xdr:sp>
    <xdr:clientData/>
  </xdr:twoCellAnchor>
  <xdr:twoCellAnchor>
    <xdr:from>
      <xdr:col>0</xdr:col>
      <xdr:colOff>247650</xdr:colOff>
      <xdr:row>138</xdr:row>
      <xdr:rowOff>31750</xdr:rowOff>
    </xdr:from>
    <xdr:to>
      <xdr:col>1</xdr:col>
      <xdr:colOff>19050</xdr:colOff>
      <xdr:row>139</xdr:row>
      <xdr:rowOff>0</xdr:rowOff>
    </xdr:to>
    <xdr:sp macro="" textlink="">
      <xdr:nvSpPr>
        <xdr:cNvPr id="152" name="TextBox 151">
          <a:extLst>
            <a:ext uri="{FF2B5EF4-FFF2-40B4-BE49-F238E27FC236}">
              <a16:creationId xmlns:a16="http://schemas.microsoft.com/office/drawing/2014/main" id="{FE704D27-EB3B-45A6-88BD-880DCC94F890}"/>
            </a:ext>
          </a:extLst>
        </xdr:cNvPr>
        <xdr:cNvSpPr txBox="1"/>
      </xdr:nvSpPr>
      <xdr:spPr>
        <a:xfrm>
          <a:off x="247650" y="29508450"/>
          <a:ext cx="431800" cy="177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n-GB" sz="1050">
              <a:latin typeface="Abadi" panose="020B0604020104020204" pitchFamily="34" charset="0"/>
            </a:rPr>
            <a:t>L2:</a:t>
          </a:r>
          <a:endParaRPr lang="en-NG" sz="1050">
            <a:latin typeface="Abadi" panose="020B0604020104020204" pitchFamily="34" charset="0"/>
          </a:endParaRPr>
        </a:p>
      </xdr:txBody>
    </xdr:sp>
    <xdr:clientData/>
  </xdr:twoCellAnchor>
  <xdr:twoCellAnchor>
    <xdr:from>
      <xdr:col>0</xdr:col>
      <xdr:colOff>254000</xdr:colOff>
      <xdr:row>139</xdr:row>
      <xdr:rowOff>19050</xdr:rowOff>
    </xdr:from>
    <xdr:to>
      <xdr:col>1</xdr:col>
      <xdr:colOff>25400</xdr:colOff>
      <xdr:row>139</xdr:row>
      <xdr:rowOff>196850</xdr:rowOff>
    </xdr:to>
    <xdr:sp macro="" textlink="">
      <xdr:nvSpPr>
        <xdr:cNvPr id="153" name="TextBox 152">
          <a:extLst>
            <a:ext uri="{FF2B5EF4-FFF2-40B4-BE49-F238E27FC236}">
              <a16:creationId xmlns:a16="http://schemas.microsoft.com/office/drawing/2014/main" id="{DCD317AB-B307-4D0E-8971-7A510F7D4D5B}"/>
            </a:ext>
          </a:extLst>
        </xdr:cNvPr>
        <xdr:cNvSpPr txBox="1"/>
      </xdr:nvSpPr>
      <xdr:spPr>
        <a:xfrm>
          <a:off x="254000" y="29705300"/>
          <a:ext cx="431800" cy="177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n-GB" sz="1050">
              <a:latin typeface="Abadi" panose="020B0604020104020204" pitchFamily="34" charset="0"/>
            </a:rPr>
            <a:t>L3:</a:t>
          </a:r>
          <a:endParaRPr lang="en-NG" sz="1050">
            <a:latin typeface="Abadi" panose="020B0604020104020204" pitchFamily="34" charset="0"/>
          </a:endParaRPr>
        </a:p>
      </xdr:txBody>
    </xdr:sp>
    <xdr:clientData/>
  </xdr:twoCellAnchor>
  <xdr:twoCellAnchor>
    <xdr:from>
      <xdr:col>0</xdr:col>
      <xdr:colOff>647700</xdr:colOff>
      <xdr:row>136</xdr:row>
      <xdr:rowOff>38100</xdr:rowOff>
    </xdr:from>
    <xdr:to>
      <xdr:col>1</xdr:col>
      <xdr:colOff>641350</xdr:colOff>
      <xdr:row>136</xdr:row>
      <xdr:rowOff>196850</xdr:rowOff>
    </xdr:to>
    <xdr:sp macro="" textlink="">
      <xdr:nvSpPr>
        <xdr:cNvPr id="154" name="TextBox 153">
          <a:extLst>
            <a:ext uri="{FF2B5EF4-FFF2-40B4-BE49-F238E27FC236}">
              <a16:creationId xmlns:a16="http://schemas.microsoft.com/office/drawing/2014/main" id="{5F20DEFE-CE92-4DA0-AB48-73997D4A294A}"/>
            </a:ext>
          </a:extLst>
        </xdr:cNvPr>
        <xdr:cNvSpPr txBox="1"/>
      </xdr:nvSpPr>
      <xdr:spPr>
        <a:xfrm>
          <a:off x="647700" y="29102050"/>
          <a:ext cx="654050" cy="1587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n-GB" sz="1050">
              <a:latin typeface="Abadi" panose="020B0604020104020204" pitchFamily="34" charset="0"/>
            </a:rPr>
            <a:t>Voltage</a:t>
          </a:r>
          <a:endParaRPr lang="en-NG" sz="1050">
            <a:latin typeface="Abadi" panose="020B0604020104020204" pitchFamily="34" charset="0"/>
          </a:endParaRPr>
        </a:p>
      </xdr:txBody>
    </xdr:sp>
    <xdr:clientData/>
  </xdr:twoCellAnchor>
  <xdr:twoCellAnchor>
    <xdr:from>
      <xdr:col>2</xdr:col>
      <xdr:colOff>44450</xdr:colOff>
      <xdr:row>136</xdr:row>
      <xdr:rowOff>38100</xdr:rowOff>
    </xdr:from>
    <xdr:to>
      <xdr:col>2</xdr:col>
      <xdr:colOff>698500</xdr:colOff>
      <xdr:row>136</xdr:row>
      <xdr:rowOff>196850</xdr:rowOff>
    </xdr:to>
    <xdr:sp macro="" textlink="">
      <xdr:nvSpPr>
        <xdr:cNvPr id="155" name="TextBox 154">
          <a:extLst>
            <a:ext uri="{FF2B5EF4-FFF2-40B4-BE49-F238E27FC236}">
              <a16:creationId xmlns:a16="http://schemas.microsoft.com/office/drawing/2014/main" id="{55A73FBD-142E-45E1-AD7C-415F75A9F861}"/>
            </a:ext>
          </a:extLst>
        </xdr:cNvPr>
        <xdr:cNvSpPr txBox="1"/>
      </xdr:nvSpPr>
      <xdr:spPr>
        <a:xfrm>
          <a:off x="1365250" y="29102050"/>
          <a:ext cx="654050" cy="1587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n-GB" sz="1050">
              <a:latin typeface="Abadi" panose="020B0604020104020204" pitchFamily="34" charset="0"/>
            </a:rPr>
            <a:t>Current</a:t>
          </a:r>
          <a:endParaRPr lang="en-NG" sz="1050">
            <a:latin typeface="Abadi" panose="020B0604020104020204" pitchFamily="34" charset="0"/>
          </a:endParaRPr>
        </a:p>
      </xdr:txBody>
    </xdr:sp>
    <xdr:clientData/>
  </xdr:twoCellAnchor>
  <xdr:twoCellAnchor>
    <xdr:from>
      <xdr:col>3</xdr:col>
      <xdr:colOff>247650</xdr:colOff>
      <xdr:row>137</xdr:row>
      <xdr:rowOff>12700</xdr:rowOff>
    </xdr:from>
    <xdr:to>
      <xdr:col>4</xdr:col>
      <xdr:colOff>19050</xdr:colOff>
      <xdr:row>137</xdr:row>
      <xdr:rowOff>190500</xdr:rowOff>
    </xdr:to>
    <xdr:sp macro="" textlink="">
      <xdr:nvSpPr>
        <xdr:cNvPr id="161" name="TextBox 160">
          <a:extLst>
            <a:ext uri="{FF2B5EF4-FFF2-40B4-BE49-F238E27FC236}">
              <a16:creationId xmlns:a16="http://schemas.microsoft.com/office/drawing/2014/main" id="{3544F211-F6AE-462A-8CD9-B6C2BC1AD206}"/>
            </a:ext>
          </a:extLst>
        </xdr:cNvPr>
        <xdr:cNvSpPr txBox="1"/>
      </xdr:nvSpPr>
      <xdr:spPr>
        <a:xfrm>
          <a:off x="247650" y="29489400"/>
          <a:ext cx="431800" cy="177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n-GB" sz="1050">
              <a:latin typeface="Abadi" panose="020B0604020104020204" pitchFamily="34" charset="0"/>
            </a:rPr>
            <a:t>L1:</a:t>
          </a:r>
          <a:endParaRPr lang="en-NG" sz="1050">
            <a:latin typeface="Abadi" panose="020B0604020104020204" pitchFamily="34" charset="0"/>
          </a:endParaRPr>
        </a:p>
      </xdr:txBody>
    </xdr:sp>
    <xdr:clientData/>
  </xdr:twoCellAnchor>
  <xdr:twoCellAnchor>
    <xdr:from>
      <xdr:col>3</xdr:col>
      <xdr:colOff>247650</xdr:colOff>
      <xdr:row>138</xdr:row>
      <xdr:rowOff>31750</xdr:rowOff>
    </xdr:from>
    <xdr:to>
      <xdr:col>4</xdr:col>
      <xdr:colOff>19050</xdr:colOff>
      <xdr:row>139</xdr:row>
      <xdr:rowOff>0</xdr:rowOff>
    </xdr:to>
    <xdr:sp macro="" textlink="">
      <xdr:nvSpPr>
        <xdr:cNvPr id="162" name="TextBox 161">
          <a:extLst>
            <a:ext uri="{FF2B5EF4-FFF2-40B4-BE49-F238E27FC236}">
              <a16:creationId xmlns:a16="http://schemas.microsoft.com/office/drawing/2014/main" id="{775C209D-4228-4136-AB6B-E86E63CB09B9}"/>
            </a:ext>
          </a:extLst>
        </xdr:cNvPr>
        <xdr:cNvSpPr txBox="1"/>
      </xdr:nvSpPr>
      <xdr:spPr>
        <a:xfrm>
          <a:off x="247650" y="29718000"/>
          <a:ext cx="431800" cy="177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n-GB" sz="1050">
              <a:latin typeface="Abadi" panose="020B0604020104020204" pitchFamily="34" charset="0"/>
            </a:rPr>
            <a:t>L2:</a:t>
          </a:r>
          <a:endParaRPr lang="en-NG" sz="1050">
            <a:latin typeface="Abadi" panose="020B0604020104020204" pitchFamily="34" charset="0"/>
          </a:endParaRPr>
        </a:p>
      </xdr:txBody>
    </xdr:sp>
    <xdr:clientData/>
  </xdr:twoCellAnchor>
  <xdr:twoCellAnchor>
    <xdr:from>
      <xdr:col>3</xdr:col>
      <xdr:colOff>254000</xdr:colOff>
      <xdr:row>139</xdr:row>
      <xdr:rowOff>19050</xdr:rowOff>
    </xdr:from>
    <xdr:to>
      <xdr:col>4</xdr:col>
      <xdr:colOff>25400</xdr:colOff>
      <xdr:row>139</xdr:row>
      <xdr:rowOff>196850</xdr:rowOff>
    </xdr:to>
    <xdr:sp macro="" textlink="">
      <xdr:nvSpPr>
        <xdr:cNvPr id="163" name="TextBox 162">
          <a:extLst>
            <a:ext uri="{FF2B5EF4-FFF2-40B4-BE49-F238E27FC236}">
              <a16:creationId xmlns:a16="http://schemas.microsoft.com/office/drawing/2014/main" id="{440B37F5-491A-43E5-9ABC-7C9B92C73A3C}"/>
            </a:ext>
          </a:extLst>
        </xdr:cNvPr>
        <xdr:cNvSpPr txBox="1"/>
      </xdr:nvSpPr>
      <xdr:spPr>
        <a:xfrm>
          <a:off x="254000" y="29914850"/>
          <a:ext cx="431800" cy="177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n-GB" sz="1050">
              <a:latin typeface="Abadi" panose="020B0604020104020204" pitchFamily="34" charset="0"/>
            </a:rPr>
            <a:t>L3:</a:t>
          </a:r>
          <a:endParaRPr lang="en-NG" sz="1050">
            <a:latin typeface="Abadi" panose="020B0604020104020204" pitchFamily="34" charset="0"/>
          </a:endParaRPr>
        </a:p>
      </xdr:txBody>
    </xdr:sp>
    <xdr:clientData/>
  </xdr:twoCellAnchor>
  <xdr:twoCellAnchor>
    <xdr:from>
      <xdr:col>3</xdr:col>
      <xdr:colOff>647700</xdr:colOff>
      <xdr:row>136</xdr:row>
      <xdr:rowOff>38100</xdr:rowOff>
    </xdr:from>
    <xdr:to>
      <xdr:col>4</xdr:col>
      <xdr:colOff>641350</xdr:colOff>
      <xdr:row>136</xdr:row>
      <xdr:rowOff>196850</xdr:rowOff>
    </xdr:to>
    <xdr:sp macro="" textlink="">
      <xdr:nvSpPr>
        <xdr:cNvPr id="164" name="TextBox 163">
          <a:extLst>
            <a:ext uri="{FF2B5EF4-FFF2-40B4-BE49-F238E27FC236}">
              <a16:creationId xmlns:a16="http://schemas.microsoft.com/office/drawing/2014/main" id="{D03D09E4-7987-4781-9A78-F22BF655CDFC}"/>
            </a:ext>
          </a:extLst>
        </xdr:cNvPr>
        <xdr:cNvSpPr txBox="1"/>
      </xdr:nvSpPr>
      <xdr:spPr>
        <a:xfrm>
          <a:off x="647700" y="29305250"/>
          <a:ext cx="654050" cy="1587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n-GB" sz="1050">
              <a:latin typeface="Abadi" panose="020B0604020104020204" pitchFamily="34" charset="0"/>
            </a:rPr>
            <a:t>Voltage</a:t>
          </a:r>
          <a:endParaRPr lang="en-NG" sz="1050">
            <a:latin typeface="Abadi" panose="020B0604020104020204" pitchFamily="34" charset="0"/>
          </a:endParaRPr>
        </a:p>
      </xdr:txBody>
    </xdr:sp>
    <xdr:clientData/>
  </xdr:twoCellAnchor>
  <xdr:twoCellAnchor>
    <xdr:from>
      <xdr:col>5</xdr:col>
      <xdr:colOff>44450</xdr:colOff>
      <xdr:row>136</xdr:row>
      <xdr:rowOff>38100</xdr:rowOff>
    </xdr:from>
    <xdr:to>
      <xdr:col>5</xdr:col>
      <xdr:colOff>698500</xdr:colOff>
      <xdr:row>136</xdr:row>
      <xdr:rowOff>196850</xdr:rowOff>
    </xdr:to>
    <xdr:sp macro="" textlink="">
      <xdr:nvSpPr>
        <xdr:cNvPr id="165" name="TextBox 164">
          <a:extLst>
            <a:ext uri="{FF2B5EF4-FFF2-40B4-BE49-F238E27FC236}">
              <a16:creationId xmlns:a16="http://schemas.microsoft.com/office/drawing/2014/main" id="{A14CD1C0-7EBA-41F5-90F4-9B3296041A64}"/>
            </a:ext>
          </a:extLst>
        </xdr:cNvPr>
        <xdr:cNvSpPr txBox="1"/>
      </xdr:nvSpPr>
      <xdr:spPr>
        <a:xfrm>
          <a:off x="1365250" y="29305250"/>
          <a:ext cx="654050" cy="1587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n-GB" sz="1050">
              <a:latin typeface="Abadi" panose="020B0604020104020204" pitchFamily="34" charset="0"/>
            </a:rPr>
            <a:t>Current</a:t>
          </a:r>
          <a:endParaRPr lang="en-NG" sz="1050">
            <a:latin typeface="Abadi" panose="020B0604020104020204" pitchFamily="34" charset="0"/>
          </a:endParaRPr>
        </a:p>
      </xdr:txBody>
    </xdr:sp>
    <xdr:clientData/>
  </xdr:twoCellAnchor>
  <xdr:twoCellAnchor>
    <xdr:from>
      <xdr:col>8</xdr:col>
      <xdr:colOff>107950</xdr:colOff>
      <xdr:row>138</xdr:row>
      <xdr:rowOff>12700</xdr:rowOff>
    </xdr:from>
    <xdr:to>
      <xdr:col>8</xdr:col>
      <xdr:colOff>546100</xdr:colOff>
      <xdr:row>139</xdr:row>
      <xdr:rowOff>25400</xdr:rowOff>
    </xdr:to>
    <xdr:sp macro="" textlink="">
      <xdr:nvSpPr>
        <xdr:cNvPr id="177" name="TextBox 176">
          <a:extLst>
            <a:ext uri="{FF2B5EF4-FFF2-40B4-BE49-F238E27FC236}">
              <a16:creationId xmlns:a16="http://schemas.microsoft.com/office/drawing/2014/main" id="{174EAFFD-5054-4B0E-9D48-E87E19068C75}"/>
            </a:ext>
          </a:extLst>
        </xdr:cNvPr>
        <xdr:cNvSpPr txBox="1"/>
      </xdr:nvSpPr>
      <xdr:spPr>
        <a:xfrm>
          <a:off x="5105400" y="29686250"/>
          <a:ext cx="438150" cy="2222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050">
              <a:latin typeface="Abadi" panose="020B0604020104020204" pitchFamily="34" charset="0"/>
            </a:rPr>
            <a:t>kVA</a:t>
          </a:r>
          <a:endParaRPr lang="en-NG" sz="1050">
            <a:latin typeface="Abadi" panose="020B0604020104020204" pitchFamily="34" charset="0"/>
          </a:endParaRPr>
        </a:p>
      </xdr:txBody>
    </xdr:sp>
    <xdr:clientData/>
  </xdr:twoCellAnchor>
  <xdr:twoCellAnchor>
    <xdr:from>
      <xdr:col>9</xdr:col>
      <xdr:colOff>273050</xdr:colOff>
      <xdr:row>138</xdr:row>
      <xdr:rowOff>19050</xdr:rowOff>
    </xdr:from>
    <xdr:to>
      <xdr:col>9</xdr:col>
      <xdr:colOff>660400</xdr:colOff>
      <xdr:row>139</xdr:row>
      <xdr:rowOff>57150</xdr:rowOff>
    </xdr:to>
    <xdr:sp macro="" textlink="">
      <xdr:nvSpPr>
        <xdr:cNvPr id="178" name="TextBox 177">
          <a:extLst>
            <a:ext uri="{FF2B5EF4-FFF2-40B4-BE49-F238E27FC236}">
              <a16:creationId xmlns:a16="http://schemas.microsoft.com/office/drawing/2014/main" id="{A32ACDAF-ADEF-472F-B706-9FFB9E48867E}"/>
            </a:ext>
          </a:extLst>
        </xdr:cNvPr>
        <xdr:cNvSpPr txBox="1"/>
      </xdr:nvSpPr>
      <xdr:spPr>
        <a:xfrm>
          <a:off x="5930900" y="29692600"/>
          <a:ext cx="387350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050">
              <a:latin typeface="Abadi" panose="020B0604020104020204" pitchFamily="34" charset="0"/>
            </a:rPr>
            <a:t>kW</a:t>
          </a:r>
          <a:endParaRPr lang="en-NG" sz="1050">
            <a:latin typeface="Abadi" panose="020B0604020104020204" pitchFamily="34" charset="0"/>
          </a:endParaRPr>
        </a:p>
      </xdr:txBody>
    </xdr:sp>
    <xdr:clientData/>
  </xdr:twoCellAnchor>
  <xdr:twoCellAnchor>
    <xdr:from>
      <xdr:col>0</xdr:col>
      <xdr:colOff>361950</xdr:colOff>
      <xdr:row>135</xdr:row>
      <xdr:rowOff>6350</xdr:rowOff>
    </xdr:from>
    <xdr:to>
      <xdr:col>3</xdr:col>
      <xdr:colOff>140550</xdr:colOff>
      <xdr:row>140</xdr:row>
      <xdr:rowOff>127000</xdr:rowOff>
    </xdr:to>
    <xdr:grpSp>
      <xdr:nvGrpSpPr>
        <xdr:cNvPr id="181" name="Group 180">
          <a:extLst>
            <a:ext uri="{FF2B5EF4-FFF2-40B4-BE49-F238E27FC236}">
              <a16:creationId xmlns:a16="http://schemas.microsoft.com/office/drawing/2014/main" id="{3C3BE0D8-D8E8-490A-B057-A702E734C191}"/>
            </a:ext>
          </a:extLst>
        </xdr:cNvPr>
        <xdr:cNvGrpSpPr/>
      </xdr:nvGrpSpPr>
      <xdr:grpSpPr>
        <a:xfrm>
          <a:off x="361950" y="31059399"/>
          <a:ext cx="1830734" cy="1235772"/>
          <a:chOff x="361950" y="29070300"/>
          <a:chExt cx="1836000" cy="1149350"/>
        </a:xfrm>
      </xdr:grpSpPr>
      <xdr:sp macro="" textlink="">
        <xdr:nvSpPr>
          <xdr:cNvPr id="180" name="Rectangle: Rounded Corners 179">
            <a:extLst>
              <a:ext uri="{FF2B5EF4-FFF2-40B4-BE49-F238E27FC236}">
                <a16:creationId xmlns:a16="http://schemas.microsoft.com/office/drawing/2014/main" id="{4313B78F-FAF5-4969-9567-77C028272AF1}"/>
              </a:ext>
            </a:extLst>
          </xdr:cNvPr>
          <xdr:cNvSpPr/>
        </xdr:nvSpPr>
        <xdr:spPr>
          <a:xfrm>
            <a:off x="361950" y="29165550"/>
            <a:ext cx="1836000" cy="1054100"/>
          </a:xfrm>
          <a:prstGeom prst="roundRect">
            <a:avLst>
              <a:gd name="adj" fmla="val 10041"/>
            </a:avLst>
          </a:prstGeom>
          <a:noFill/>
          <a:ln>
            <a:solidFill>
              <a:schemeClr val="accent5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NG" sz="1100"/>
          </a:p>
        </xdr:txBody>
      </xdr:sp>
      <xdr:sp macro="" textlink="">
        <xdr:nvSpPr>
          <xdr:cNvPr id="179" name="TextBox 178">
            <a:extLst>
              <a:ext uri="{FF2B5EF4-FFF2-40B4-BE49-F238E27FC236}">
                <a16:creationId xmlns:a16="http://schemas.microsoft.com/office/drawing/2014/main" id="{E1F999D6-469F-467B-925A-66D541B7E7EB}"/>
              </a:ext>
            </a:extLst>
          </xdr:cNvPr>
          <xdr:cNvSpPr txBox="1"/>
        </xdr:nvSpPr>
        <xdr:spPr>
          <a:xfrm>
            <a:off x="520700" y="29070300"/>
            <a:ext cx="900000" cy="171450"/>
          </a:xfrm>
          <a:prstGeom prst="rect">
            <a:avLst/>
          </a:prstGeom>
          <a:solidFill>
            <a:schemeClr val="bg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r>
              <a:rPr lang="en-GB" sz="1050">
                <a:latin typeface="Abadi" panose="020B0604020104020204" pitchFamily="34" charset="0"/>
              </a:rPr>
              <a:t>Peak Values</a:t>
            </a:r>
            <a:endParaRPr lang="en-NG" sz="1050">
              <a:latin typeface="Abadi" panose="020B0604020104020204" pitchFamily="34" charset="0"/>
            </a:endParaRPr>
          </a:p>
        </xdr:txBody>
      </xdr:sp>
    </xdr:grpSp>
    <xdr:clientData/>
  </xdr:twoCellAnchor>
  <xdr:twoCellAnchor>
    <xdr:from>
      <xdr:col>3</xdr:col>
      <xdr:colOff>330200</xdr:colOff>
      <xdr:row>135</xdr:row>
      <xdr:rowOff>6350</xdr:rowOff>
    </xdr:from>
    <xdr:to>
      <xdr:col>6</xdr:col>
      <xdr:colOff>89750</xdr:colOff>
      <xdr:row>140</xdr:row>
      <xdr:rowOff>127000</xdr:rowOff>
    </xdr:to>
    <xdr:grpSp>
      <xdr:nvGrpSpPr>
        <xdr:cNvPr id="182" name="Group 181">
          <a:extLst>
            <a:ext uri="{FF2B5EF4-FFF2-40B4-BE49-F238E27FC236}">
              <a16:creationId xmlns:a16="http://schemas.microsoft.com/office/drawing/2014/main" id="{EA0C17CB-889C-4199-86F3-9B5AB2B4539C}"/>
            </a:ext>
          </a:extLst>
        </xdr:cNvPr>
        <xdr:cNvGrpSpPr/>
      </xdr:nvGrpSpPr>
      <xdr:grpSpPr>
        <a:xfrm>
          <a:off x="2382334" y="31059399"/>
          <a:ext cx="2098209" cy="1235772"/>
          <a:chOff x="361950" y="29070300"/>
          <a:chExt cx="1836000" cy="1149350"/>
        </a:xfrm>
      </xdr:grpSpPr>
      <xdr:sp macro="" textlink="">
        <xdr:nvSpPr>
          <xdr:cNvPr id="183" name="Rectangle: Rounded Corners 182">
            <a:extLst>
              <a:ext uri="{FF2B5EF4-FFF2-40B4-BE49-F238E27FC236}">
                <a16:creationId xmlns:a16="http://schemas.microsoft.com/office/drawing/2014/main" id="{8FE420AB-8900-47CF-BEB7-C63D1BE6794D}"/>
              </a:ext>
            </a:extLst>
          </xdr:cNvPr>
          <xdr:cNvSpPr/>
        </xdr:nvSpPr>
        <xdr:spPr>
          <a:xfrm>
            <a:off x="361950" y="29165550"/>
            <a:ext cx="1836000" cy="1054100"/>
          </a:xfrm>
          <a:prstGeom prst="roundRect">
            <a:avLst>
              <a:gd name="adj" fmla="val 10041"/>
            </a:avLst>
          </a:prstGeom>
          <a:noFill/>
          <a:ln>
            <a:solidFill>
              <a:schemeClr val="accent5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NG" sz="1100"/>
          </a:p>
        </xdr:txBody>
      </xdr:sp>
      <xdr:sp macro="" textlink="">
        <xdr:nvSpPr>
          <xdr:cNvPr id="184" name="TextBox 183">
            <a:extLst>
              <a:ext uri="{FF2B5EF4-FFF2-40B4-BE49-F238E27FC236}">
                <a16:creationId xmlns:a16="http://schemas.microsoft.com/office/drawing/2014/main" id="{B12BC43E-B246-42C3-95B0-2E66DCED28F4}"/>
              </a:ext>
            </a:extLst>
          </xdr:cNvPr>
          <xdr:cNvSpPr txBox="1"/>
        </xdr:nvSpPr>
        <xdr:spPr>
          <a:xfrm>
            <a:off x="520700" y="29070300"/>
            <a:ext cx="1116000" cy="171450"/>
          </a:xfrm>
          <a:prstGeom prst="rect">
            <a:avLst/>
          </a:prstGeom>
          <a:solidFill>
            <a:schemeClr val="bg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r>
              <a:rPr lang="en-GB" sz="1050">
                <a:latin typeface="Abadi" panose="020B0604020104020204" pitchFamily="34" charset="0"/>
              </a:rPr>
              <a:t>Average Values</a:t>
            </a:r>
            <a:endParaRPr lang="en-NG" sz="1050">
              <a:latin typeface="Abadi" panose="020B0604020104020204" pitchFamily="34" charset="0"/>
            </a:endParaRPr>
          </a:p>
        </xdr:txBody>
      </xdr:sp>
    </xdr:grpSp>
    <xdr:clientData/>
  </xdr:twoCellAnchor>
  <xdr:twoCellAnchor>
    <xdr:from>
      <xdr:col>0</xdr:col>
      <xdr:colOff>19050</xdr:colOff>
      <xdr:row>43</xdr:row>
      <xdr:rowOff>44450</xdr:rowOff>
    </xdr:from>
    <xdr:to>
      <xdr:col>1</xdr:col>
      <xdr:colOff>342900</xdr:colOff>
      <xdr:row>45</xdr:row>
      <xdr:rowOff>68580</xdr:rowOff>
    </xdr:to>
    <xdr:sp macro="" textlink="">
      <xdr:nvSpPr>
        <xdr:cNvPr id="148" name="Rectangle 147">
          <a:extLst>
            <a:ext uri="{FF2B5EF4-FFF2-40B4-BE49-F238E27FC236}">
              <a16:creationId xmlns:a16="http://schemas.microsoft.com/office/drawing/2014/main" id="{0474CFC5-790B-4763-8F43-1A8653E6364C}"/>
            </a:ext>
          </a:extLst>
        </xdr:cNvPr>
        <xdr:cNvSpPr/>
      </xdr:nvSpPr>
      <xdr:spPr>
        <a:xfrm>
          <a:off x="19050" y="10323830"/>
          <a:ext cx="986790" cy="420370"/>
        </a:xfrm>
        <a:prstGeom prst="rect">
          <a:avLst/>
        </a:prstGeom>
        <a:blipFill dpi="0" rotWithShape="1"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G" sz="1100"/>
        </a:p>
      </xdr:txBody>
    </xdr:sp>
    <xdr:clientData/>
  </xdr:twoCellAnchor>
  <xdr:twoCellAnchor>
    <xdr:from>
      <xdr:col>0</xdr:col>
      <xdr:colOff>12700</xdr:colOff>
      <xdr:row>93</xdr:row>
      <xdr:rowOff>50800</xdr:rowOff>
    </xdr:from>
    <xdr:to>
      <xdr:col>1</xdr:col>
      <xdr:colOff>289560</xdr:colOff>
      <xdr:row>95</xdr:row>
      <xdr:rowOff>68580</xdr:rowOff>
    </xdr:to>
    <xdr:sp macro="" textlink="">
      <xdr:nvSpPr>
        <xdr:cNvPr id="149" name="Rectangle 148">
          <a:extLst>
            <a:ext uri="{FF2B5EF4-FFF2-40B4-BE49-F238E27FC236}">
              <a16:creationId xmlns:a16="http://schemas.microsoft.com/office/drawing/2014/main" id="{6A845AF6-1D5A-4A5E-9A01-FE15650FA07E}"/>
            </a:ext>
          </a:extLst>
        </xdr:cNvPr>
        <xdr:cNvSpPr/>
      </xdr:nvSpPr>
      <xdr:spPr>
        <a:xfrm>
          <a:off x="12700" y="20601940"/>
          <a:ext cx="939800" cy="414020"/>
        </a:xfrm>
        <a:prstGeom prst="rect">
          <a:avLst/>
        </a:prstGeom>
        <a:blipFill dpi="0" rotWithShape="1"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G" sz="1100"/>
        </a:p>
      </xdr:txBody>
    </xdr:sp>
    <xdr:clientData/>
  </xdr:twoCellAnchor>
  <xdr:twoCellAnchor>
    <xdr:from>
      <xdr:col>0</xdr:col>
      <xdr:colOff>19050</xdr:colOff>
      <xdr:row>142</xdr:row>
      <xdr:rowOff>50800</xdr:rowOff>
    </xdr:from>
    <xdr:to>
      <xdr:col>1</xdr:col>
      <xdr:colOff>83820</xdr:colOff>
      <xdr:row>144</xdr:row>
      <xdr:rowOff>30480</xdr:rowOff>
    </xdr:to>
    <xdr:sp macro="" textlink="">
      <xdr:nvSpPr>
        <xdr:cNvPr id="150" name="Rectangle 149">
          <a:extLst>
            <a:ext uri="{FF2B5EF4-FFF2-40B4-BE49-F238E27FC236}">
              <a16:creationId xmlns:a16="http://schemas.microsoft.com/office/drawing/2014/main" id="{1E3E6CE4-A697-47D5-8608-F2898FAB43F4}"/>
            </a:ext>
          </a:extLst>
        </xdr:cNvPr>
        <xdr:cNvSpPr/>
      </xdr:nvSpPr>
      <xdr:spPr>
        <a:xfrm>
          <a:off x="19050" y="30835600"/>
          <a:ext cx="727710" cy="360680"/>
        </a:xfrm>
        <a:prstGeom prst="rect">
          <a:avLst/>
        </a:prstGeom>
        <a:blipFill dpi="0" rotWithShape="1"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G" sz="1100"/>
        </a:p>
      </xdr:txBody>
    </xdr:sp>
    <xdr:clientData/>
  </xdr:twoCellAnchor>
  <xdr:twoCellAnchor>
    <xdr:from>
      <xdr:col>0</xdr:col>
      <xdr:colOff>44450</xdr:colOff>
      <xdr:row>191</xdr:row>
      <xdr:rowOff>63500</xdr:rowOff>
    </xdr:from>
    <xdr:to>
      <xdr:col>1</xdr:col>
      <xdr:colOff>259080</xdr:colOff>
      <xdr:row>193</xdr:row>
      <xdr:rowOff>60960</xdr:rowOff>
    </xdr:to>
    <xdr:sp macro="" textlink="">
      <xdr:nvSpPr>
        <xdr:cNvPr id="156" name="Rectangle 155">
          <a:extLst>
            <a:ext uri="{FF2B5EF4-FFF2-40B4-BE49-F238E27FC236}">
              <a16:creationId xmlns:a16="http://schemas.microsoft.com/office/drawing/2014/main" id="{22D2B0A3-8CAD-41A4-A1EF-954BF1C625BB}"/>
            </a:ext>
          </a:extLst>
        </xdr:cNvPr>
        <xdr:cNvSpPr/>
      </xdr:nvSpPr>
      <xdr:spPr>
        <a:xfrm>
          <a:off x="44450" y="41135300"/>
          <a:ext cx="877570" cy="393700"/>
        </a:xfrm>
        <a:prstGeom prst="rect">
          <a:avLst/>
        </a:prstGeom>
        <a:blipFill dpi="0" rotWithShape="1"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G" sz="1100"/>
        </a:p>
      </xdr:txBody>
    </xdr:sp>
    <xdr:clientData/>
  </xdr:twoCellAnchor>
  <xdr:twoCellAnchor>
    <xdr:from>
      <xdr:col>0</xdr:col>
      <xdr:colOff>260350</xdr:colOff>
      <xdr:row>196</xdr:row>
      <xdr:rowOff>19050</xdr:rowOff>
    </xdr:from>
    <xdr:to>
      <xdr:col>4</xdr:col>
      <xdr:colOff>590550</xdr:colOff>
      <xdr:row>209</xdr:row>
      <xdr:rowOff>190500</xdr:rowOff>
    </xdr:to>
    <xdr:sp macro="" textlink="">
      <xdr:nvSpPr>
        <xdr:cNvPr id="114" name="Rectangle 113">
          <a:extLst>
            <a:ext uri="{FF2B5EF4-FFF2-40B4-BE49-F238E27FC236}">
              <a16:creationId xmlns:a16="http://schemas.microsoft.com/office/drawing/2014/main" id="{0ECDE7AA-F723-4092-9A38-5452D2EAADC4}"/>
            </a:ext>
          </a:extLst>
        </xdr:cNvPr>
        <xdr:cNvSpPr/>
      </xdr:nvSpPr>
      <xdr:spPr>
        <a:xfrm>
          <a:off x="260350" y="41662350"/>
          <a:ext cx="3130550" cy="2730500"/>
        </a:xfrm>
        <a:prstGeom prst="rect">
          <a:avLst/>
        </a:prstGeom>
        <a:noFill/>
        <a:ln>
          <a:solidFill>
            <a:schemeClr val="accent5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G" sz="1100"/>
        </a:p>
      </xdr:txBody>
    </xdr:sp>
    <xdr:clientData/>
  </xdr:twoCellAnchor>
  <xdr:twoCellAnchor>
    <xdr:from>
      <xdr:col>2</xdr:col>
      <xdr:colOff>79650</xdr:colOff>
      <xdr:row>194</xdr:row>
      <xdr:rowOff>0</xdr:rowOff>
    </xdr:from>
    <xdr:to>
      <xdr:col>9</xdr:col>
      <xdr:colOff>880050</xdr:colOff>
      <xdr:row>195</xdr:row>
      <xdr:rowOff>44450</xdr:rowOff>
    </xdr:to>
    <xdr:sp macro="" textlink="">
      <xdr:nvSpPr>
        <xdr:cNvPr id="157" name="TextBox 156">
          <a:extLst>
            <a:ext uri="{FF2B5EF4-FFF2-40B4-BE49-F238E27FC236}">
              <a16:creationId xmlns:a16="http://schemas.microsoft.com/office/drawing/2014/main" id="{100B48ED-11E7-4493-AA98-0B7DA445FA05}"/>
            </a:ext>
          </a:extLst>
        </xdr:cNvPr>
        <xdr:cNvSpPr txBox="1"/>
      </xdr:nvSpPr>
      <xdr:spPr>
        <a:xfrm>
          <a:off x="1400450" y="41249600"/>
          <a:ext cx="5220000" cy="241300"/>
        </a:xfrm>
        <a:prstGeom prst="rect">
          <a:avLst/>
        </a:prstGeom>
        <a:solidFill>
          <a:srgbClr val="00206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GB" sz="1050" b="1">
              <a:solidFill>
                <a:schemeClr val="bg1"/>
              </a:solidFill>
              <a:latin typeface="Berlin Sans FB Demi" panose="020E0802020502020306" pitchFamily="34" charset="0"/>
            </a:rPr>
            <a:t>PICTURES</a:t>
          </a:r>
          <a:endParaRPr lang="en-NG" sz="1050" b="1" i="1">
            <a:solidFill>
              <a:schemeClr val="bg1"/>
            </a:solidFill>
            <a:latin typeface="Berlin Sans FB Demi" panose="020E0802020502020306" pitchFamily="34" charset="0"/>
          </a:endParaRPr>
        </a:p>
      </xdr:txBody>
    </xdr:sp>
    <xdr:clientData/>
  </xdr:twoCellAnchor>
  <xdr:twoCellAnchor>
    <xdr:from>
      <xdr:col>0</xdr:col>
      <xdr:colOff>279400</xdr:colOff>
      <xdr:row>212</xdr:row>
      <xdr:rowOff>6350</xdr:rowOff>
    </xdr:from>
    <xdr:to>
      <xdr:col>4</xdr:col>
      <xdr:colOff>571500</xdr:colOff>
      <xdr:row>225</xdr:row>
      <xdr:rowOff>177800</xdr:rowOff>
    </xdr:to>
    <xdr:sp macro="" textlink="">
      <xdr:nvSpPr>
        <xdr:cNvPr id="158" name="Rectangle 157">
          <a:extLst>
            <a:ext uri="{FF2B5EF4-FFF2-40B4-BE49-F238E27FC236}">
              <a16:creationId xmlns:a16="http://schemas.microsoft.com/office/drawing/2014/main" id="{46A9E6FA-9132-4565-A56D-C0DE263BFA6E}"/>
            </a:ext>
          </a:extLst>
        </xdr:cNvPr>
        <xdr:cNvSpPr/>
      </xdr:nvSpPr>
      <xdr:spPr>
        <a:xfrm>
          <a:off x="279400" y="44799250"/>
          <a:ext cx="3092450" cy="2730500"/>
        </a:xfrm>
        <a:prstGeom prst="rect">
          <a:avLst/>
        </a:prstGeom>
        <a:noFill/>
        <a:ln>
          <a:solidFill>
            <a:schemeClr val="accent5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G" sz="1100"/>
        </a:p>
      </xdr:txBody>
    </xdr:sp>
    <xdr:clientData/>
  </xdr:twoCellAnchor>
  <xdr:twoCellAnchor>
    <xdr:from>
      <xdr:col>0</xdr:col>
      <xdr:colOff>285750</xdr:colOff>
      <xdr:row>227</xdr:row>
      <xdr:rowOff>88900</xdr:rowOff>
    </xdr:from>
    <xdr:to>
      <xdr:col>4</xdr:col>
      <xdr:colOff>577850</xdr:colOff>
      <xdr:row>241</xdr:row>
      <xdr:rowOff>63500</xdr:rowOff>
    </xdr:to>
    <xdr:sp macro="" textlink="">
      <xdr:nvSpPr>
        <xdr:cNvPr id="159" name="Rectangle 158">
          <a:extLst>
            <a:ext uri="{FF2B5EF4-FFF2-40B4-BE49-F238E27FC236}">
              <a16:creationId xmlns:a16="http://schemas.microsoft.com/office/drawing/2014/main" id="{0EED13A5-4F50-4A48-83B7-4CD200013D68}"/>
            </a:ext>
          </a:extLst>
        </xdr:cNvPr>
        <xdr:cNvSpPr/>
      </xdr:nvSpPr>
      <xdr:spPr>
        <a:xfrm>
          <a:off x="285750" y="47834550"/>
          <a:ext cx="3092450" cy="2730500"/>
        </a:xfrm>
        <a:prstGeom prst="rect">
          <a:avLst/>
        </a:prstGeom>
        <a:noFill/>
        <a:ln>
          <a:solidFill>
            <a:schemeClr val="accent5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G" sz="1100"/>
        </a:p>
      </xdr:txBody>
    </xdr:sp>
    <xdr:clientData/>
  </xdr:twoCellAnchor>
  <xdr:twoCellAnchor>
    <xdr:from>
      <xdr:col>5</xdr:col>
      <xdr:colOff>25400</xdr:colOff>
      <xdr:row>196</xdr:row>
      <xdr:rowOff>6350</xdr:rowOff>
    </xdr:from>
    <xdr:to>
      <xdr:col>9</xdr:col>
      <xdr:colOff>857250</xdr:colOff>
      <xdr:row>209</xdr:row>
      <xdr:rowOff>177800</xdr:rowOff>
    </xdr:to>
    <xdr:sp macro="" textlink="">
      <xdr:nvSpPr>
        <xdr:cNvPr id="160" name="Rectangle 159">
          <a:extLst>
            <a:ext uri="{FF2B5EF4-FFF2-40B4-BE49-F238E27FC236}">
              <a16:creationId xmlns:a16="http://schemas.microsoft.com/office/drawing/2014/main" id="{74B9D5FC-75D1-401E-8201-930D91C5171E}"/>
            </a:ext>
          </a:extLst>
        </xdr:cNvPr>
        <xdr:cNvSpPr/>
      </xdr:nvSpPr>
      <xdr:spPr>
        <a:xfrm>
          <a:off x="3581400" y="41649650"/>
          <a:ext cx="3016250" cy="2730500"/>
        </a:xfrm>
        <a:prstGeom prst="rect">
          <a:avLst/>
        </a:prstGeom>
        <a:noFill/>
        <a:ln>
          <a:solidFill>
            <a:schemeClr val="accent5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G" sz="1100" b="1"/>
        </a:p>
      </xdr:txBody>
    </xdr:sp>
    <xdr:clientData/>
  </xdr:twoCellAnchor>
  <xdr:twoCellAnchor>
    <xdr:from>
      <xdr:col>0</xdr:col>
      <xdr:colOff>273050</xdr:colOff>
      <xdr:row>210</xdr:row>
      <xdr:rowOff>44450</xdr:rowOff>
    </xdr:from>
    <xdr:to>
      <xdr:col>4</xdr:col>
      <xdr:colOff>577850</xdr:colOff>
      <xdr:row>211</xdr:row>
      <xdr:rowOff>63500</xdr:rowOff>
    </xdr:to>
    <xdr:sp macro="" textlink="">
      <xdr:nvSpPr>
        <xdr:cNvPr id="115" name="TextBox 114">
          <a:extLst>
            <a:ext uri="{FF2B5EF4-FFF2-40B4-BE49-F238E27FC236}">
              <a16:creationId xmlns:a16="http://schemas.microsoft.com/office/drawing/2014/main" id="{9A7779FF-FCF0-4744-9840-6CF778218CC9}"/>
            </a:ext>
          </a:extLst>
        </xdr:cNvPr>
        <xdr:cNvSpPr txBox="1"/>
      </xdr:nvSpPr>
      <xdr:spPr>
        <a:xfrm>
          <a:off x="273050" y="44443650"/>
          <a:ext cx="3105150" cy="215900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 w="9525" cmpd="sng">
          <a:solidFill>
            <a:schemeClr val="accent1">
              <a:lumMod val="20000"/>
              <a:lumOff val="8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000"/>
            <a:t>Fig. 1: Inverter Room</a:t>
          </a:r>
          <a:endParaRPr lang="en-NG" sz="1000"/>
        </a:p>
      </xdr:txBody>
    </xdr:sp>
    <xdr:clientData/>
  </xdr:twoCellAnchor>
  <xdr:twoCellAnchor>
    <xdr:from>
      <xdr:col>5</xdr:col>
      <xdr:colOff>44450</xdr:colOff>
      <xdr:row>210</xdr:row>
      <xdr:rowOff>31750</xdr:rowOff>
    </xdr:from>
    <xdr:to>
      <xdr:col>9</xdr:col>
      <xdr:colOff>884050</xdr:colOff>
      <xdr:row>211</xdr:row>
      <xdr:rowOff>50800</xdr:rowOff>
    </xdr:to>
    <xdr:sp macro="" textlink="">
      <xdr:nvSpPr>
        <xdr:cNvPr id="166" name="TextBox 165">
          <a:extLst>
            <a:ext uri="{FF2B5EF4-FFF2-40B4-BE49-F238E27FC236}">
              <a16:creationId xmlns:a16="http://schemas.microsoft.com/office/drawing/2014/main" id="{06056EA6-16F9-4EA7-B1DE-8946E6E20BAB}"/>
            </a:ext>
          </a:extLst>
        </xdr:cNvPr>
        <xdr:cNvSpPr txBox="1"/>
      </xdr:nvSpPr>
      <xdr:spPr>
        <a:xfrm>
          <a:off x="3600450" y="44430950"/>
          <a:ext cx="3024000" cy="215900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 w="9525" cmpd="sng">
          <a:solidFill>
            <a:schemeClr val="accent1">
              <a:lumMod val="20000"/>
              <a:lumOff val="8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000"/>
            <a:t>Fig. 2: Power Room</a:t>
          </a:r>
          <a:endParaRPr lang="en-NG" sz="1000"/>
        </a:p>
      </xdr:txBody>
    </xdr:sp>
    <xdr:clientData/>
  </xdr:twoCellAnchor>
  <xdr:twoCellAnchor>
    <xdr:from>
      <xdr:col>0</xdr:col>
      <xdr:colOff>279400</xdr:colOff>
      <xdr:row>226</xdr:row>
      <xdr:rowOff>6350</xdr:rowOff>
    </xdr:from>
    <xdr:to>
      <xdr:col>4</xdr:col>
      <xdr:colOff>584200</xdr:colOff>
      <xdr:row>227</xdr:row>
      <xdr:rowOff>25400</xdr:rowOff>
    </xdr:to>
    <xdr:sp macro="" textlink="">
      <xdr:nvSpPr>
        <xdr:cNvPr id="167" name="TextBox 166">
          <a:extLst>
            <a:ext uri="{FF2B5EF4-FFF2-40B4-BE49-F238E27FC236}">
              <a16:creationId xmlns:a16="http://schemas.microsoft.com/office/drawing/2014/main" id="{8CC714EE-CFC8-4299-8A51-3E778A0B0816}"/>
            </a:ext>
          </a:extLst>
        </xdr:cNvPr>
        <xdr:cNvSpPr txBox="1"/>
      </xdr:nvSpPr>
      <xdr:spPr>
        <a:xfrm>
          <a:off x="279400" y="47555150"/>
          <a:ext cx="3105150" cy="215900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 w="9525" cmpd="sng">
          <a:solidFill>
            <a:schemeClr val="accent1">
              <a:lumMod val="20000"/>
              <a:lumOff val="8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000"/>
            <a:t>Fig. 3: Banks Front View</a:t>
          </a:r>
          <a:endParaRPr lang="en-NG" sz="1000"/>
        </a:p>
      </xdr:txBody>
    </xdr:sp>
    <xdr:clientData/>
  </xdr:twoCellAnchor>
  <xdr:twoCellAnchor>
    <xdr:from>
      <xdr:col>5</xdr:col>
      <xdr:colOff>0</xdr:colOff>
      <xdr:row>212</xdr:row>
      <xdr:rowOff>12700</xdr:rowOff>
    </xdr:from>
    <xdr:to>
      <xdr:col>10</xdr:col>
      <xdr:colOff>0</xdr:colOff>
      <xdr:row>225</xdr:row>
      <xdr:rowOff>184150</xdr:rowOff>
    </xdr:to>
    <xdr:sp macro="" textlink="">
      <xdr:nvSpPr>
        <xdr:cNvPr id="168" name="Rectangle 167">
          <a:extLst>
            <a:ext uri="{FF2B5EF4-FFF2-40B4-BE49-F238E27FC236}">
              <a16:creationId xmlns:a16="http://schemas.microsoft.com/office/drawing/2014/main" id="{3965DA42-A33B-4996-B7A6-EF4B8C4FFC1F}"/>
            </a:ext>
          </a:extLst>
        </xdr:cNvPr>
        <xdr:cNvSpPr/>
      </xdr:nvSpPr>
      <xdr:spPr>
        <a:xfrm>
          <a:off x="3556000" y="44805600"/>
          <a:ext cx="3092450" cy="2730500"/>
        </a:xfrm>
        <a:prstGeom prst="rect">
          <a:avLst/>
        </a:prstGeom>
        <a:noFill/>
        <a:ln>
          <a:solidFill>
            <a:schemeClr val="accent5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G" sz="1100"/>
        </a:p>
      </xdr:txBody>
    </xdr:sp>
    <xdr:clientData/>
  </xdr:twoCellAnchor>
  <xdr:twoCellAnchor>
    <xdr:from>
      <xdr:col>5</xdr:col>
      <xdr:colOff>0</xdr:colOff>
      <xdr:row>226</xdr:row>
      <xdr:rowOff>12700</xdr:rowOff>
    </xdr:from>
    <xdr:to>
      <xdr:col>10</xdr:col>
      <xdr:colOff>12700</xdr:colOff>
      <xdr:row>227</xdr:row>
      <xdr:rowOff>31750</xdr:rowOff>
    </xdr:to>
    <xdr:sp macro="" textlink="">
      <xdr:nvSpPr>
        <xdr:cNvPr id="169" name="TextBox 168">
          <a:extLst>
            <a:ext uri="{FF2B5EF4-FFF2-40B4-BE49-F238E27FC236}">
              <a16:creationId xmlns:a16="http://schemas.microsoft.com/office/drawing/2014/main" id="{638515DD-C51C-4564-8C7C-2B1853251368}"/>
            </a:ext>
          </a:extLst>
        </xdr:cNvPr>
        <xdr:cNvSpPr txBox="1"/>
      </xdr:nvSpPr>
      <xdr:spPr>
        <a:xfrm>
          <a:off x="3556000" y="47561500"/>
          <a:ext cx="3105150" cy="215900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 w="9525" cmpd="sng">
          <a:solidFill>
            <a:schemeClr val="accent1">
              <a:lumMod val="20000"/>
              <a:lumOff val="8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000"/>
            <a:t>Fig. 4: Bank</a:t>
          </a:r>
          <a:r>
            <a:rPr lang="en-GB" sz="1000" baseline="0"/>
            <a:t> Rooftop View</a:t>
          </a:r>
          <a:endParaRPr lang="en-NG" sz="1000"/>
        </a:p>
      </xdr:txBody>
    </xdr:sp>
    <xdr:clientData/>
  </xdr:twoCellAnchor>
  <xdr:twoCellAnchor>
    <xdr:from>
      <xdr:col>0</xdr:col>
      <xdr:colOff>292100</xdr:colOff>
      <xdr:row>241</xdr:row>
      <xdr:rowOff>76200</xdr:rowOff>
    </xdr:from>
    <xdr:to>
      <xdr:col>4</xdr:col>
      <xdr:colOff>596900</xdr:colOff>
      <xdr:row>242</xdr:row>
      <xdr:rowOff>95250</xdr:rowOff>
    </xdr:to>
    <xdr:sp macro="" textlink="">
      <xdr:nvSpPr>
        <xdr:cNvPr id="170" name="TextBox 169">
          <a:extLst>
            <a:ext uri="{FF2B5EF4-FFF2-40B4-BE49-F238E27FC236}">
              <a16:creationId xmlns:a16="http://schemas.microsoft.com/office/drawing/2014/main" id="{DFEBB186-8555-41A6-ACE0-DE56376D581F}"/>
            </a:ext>
          </a:extLst>
        </xdr:cNvPr>
        <xdr:cNvSpPr txBox="1"/>
      </xdr:nvSpPr>
      <xdr:spPr>
        <a:xfrm>
          <a:off x="292100" y="50577750"/>
          <a:ext cx="3105150" cy="215900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 w="9525" cmpd="sng">
          <a:solidFill>
            <a:schemeClr val="accent1">
              <a:lumMod val="20000"/>
              <a:lumOff val="8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000"/>
            <a:t>Fig. 5: Generator Display while</a:t>
          </a:r>
          <a:r>
            <a:rPr lang="en-GB" sz="1000" baseline="0"/>
            <a:t> on Load</a:t>
          </a:r>
          <a:endParaRPr lang="en-NG" sz="1000"/>
        </a:p>
      </xdr:txBody>
    </xdr:sp>
    <xdr:clientData/>
  </xdr:twoCellAnchor>
  <xdr:twoCellAnchor>
    <xdr:from>
      <xdr:col>5</xdr:col>
      <xdr:colOff>6350</xdr:colOff>
      <xdr:row>227</xdr:row>
      <xdr:rowOff>88900</xdr:rowOff>
    </xdr:from>
    <xdr:to>
      <xdr:col>10</xdr:col>
      <xdr:colOff>6350</xdr:colOff>
      <xdr:row>241</xdr:row>
      <xdr:rowOff>63500</xdr:rowOff>
    </xdr:to>
    <xdr:sp macro="" textlink="">
      <xdr:nvSpPr>
        <xdr:cNvPr id="171" name="Rectangle 170">
          <a:extLst>
            <a:ext uri="{FF2B5EF4-FFF2-40B4-BE49-F238E27FC236}">
              <a16:creationId xmlns:a16="http://schemas.microsoft.com/office/drawing/2014/main" id="{E0577FA6-1572-45B6-8587-C4DDC5E39FDB}"/>
            </a:ext>
          </a:extLst>
        </xdr:cNvPr>
        <xdr:cNvSpPr/>
      </xdr:nvSpPr>
      <xdr:spPr>
        <a:xfrm>
          <a:off x="3562350" y="47834550"/>
          <a:ext cx="3092450" cy="2730500"/>
        </a:xfrm>
        <a:prstGeom prst="rect">
          <a:avLst/>
        </a:prstGeom>
        <a:noFill/>
        <a:ln>
          <a:solidFill>
            <a:schemeClr val="accent5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G" sz="1100"/>
        </a:p>
      </xdr:txBody>
    </xdr:sp>
    <xdr:clientData/>
  </xdr:twoCellAnchor>
  <xdr:twoCellAnchor>
    <xdr:from>
      <xdr:col>5</xdr:col>
      <xdr:colOff>12700</xdr:colOff>
      <xdr:row>241</xdr:row>
      <xdr:rowOff>76200</xdr:rowOff>
    </xdr:from>
    <xdr:to>
      <xdr:col>10</xdr:col>
      <xdr:colOff>25400</xdr:colOff>
      <xdr:row>242</xdr:row>
      <xdr:rowOff>95250</xdr:rowOff>
    </xdr:to>
    <xdr:sp macro="" textlink="">
      <xdr:nvSpPr>
        <xdr:cNvPr id="172" name="TextBox 171">
          <a:extLst>
            <a:ext uri="{FF2B5EF4-FFF2-40B4-BE49-F238E27FC236}">
              <a16:creationId xmlns:a16="http://schemas.microsoft.com/office/drawing/2014/main" id="{A23E0B87-8E51-42C2-B080-E7B91C263D9F}"/>
            </a:ext>
          </a:extLst>
        </xdr:cNvPr>
        <xdr:cNvSpPr txBox="1"/>
      </xdr:nvSpPr>
      <xdr:spPr>
        <a:xfrm>
          <a:off x="3568700" y="50577750"/>
          <a:ext cx="3105150" cy="215900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 w="9525" cmpd="sng">
          <a:solidFill>
            <a:schemeClr val="accent1">
              <a:lumMod val="20000"/>
              <a:lumOff val="8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000"/>
            <a:t>Fig. 6: Clamp Meter Showing L1-Current Readings</a:t>
          </a:r>
          <a:endParaRPr lang="en-NG" sz="1000"/>
        </a:p>
      </xdr:txBody>
    </xdr:sp>
    <xdr:clientData/>
  </xdr:twoCellAnchor>
  <xdr:twoCellAnchor>
    <xdr:from>
      <xdr:col>0</xdr:col>
      <xdr:colOff>304800</xdr:colOff>
      <xdr:row>248</xdr:row>
      <xdr:rowOff>0</xdr:rowOff>
    </xdr:from>
    <xdr:to>
      <xdr:col>4</xdr:col>
      <xdr:colOff>596900</xdr:colOff>
      <xdr:row>261</xdr:row>
      <xdr:rowOff>171450</xdr:rowOff>
    </xdr:to>
    <xdr:sp macro="" textlink="">
      <xdr:nvSpPr>
        <xdr:cNvPr id="173" name="Rectangle 172">
          <a:extLst>
            <a:ext uri="{FF2B5EF4-FFF2-40B4-BE49-F238E27FC236}">
              <a16:creationId xmlns:a16="http://schemas.microsoft.com/office/drawing/2014/main" id="{332EC81A-D1E5-44F7-8160-C97945CC569F}"/>
            </a:ext>
          </a:extLst>
        </xdr:cNvPr>
        <xdr:cNvSpPr/>
      </xdr:nvSpPr>
      <xdr:spPr>
        <a:xfrm>
          <a:off x="304800" y="51879500"/>
          <a:ext cx="3282950" cy="2730500"/>
        </a:xfrm>
        <a:prstGeom prst="rect">
          <a:avLst/>
        </a:prstGeom>
        <a:noFill/>
        <a:ln>
          <a:solidFill>
            <a:schemeClr val="accent5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G" sz="1100"/>
        </a:p>
      </xdr:txBody>
    </xdr:sp>
    <xdr:clientData/>
  </xdr:twoCellAnchor>
  <xdr:twoCellAnchor>
    <xdr:from>
      <xdr:col>0</xdr:col>
      <xdr:colOff>311150</xdr:colOff>
      <xdr:row>261</xdr:row>
      <xdr:rowOff>184150</xdr:rowOff>
    </xdr:from>
    <xdr:to>
      <xdr:col>4</xdr:col>
      <xdr:colOff>615950</xdr:colOff>
      <xdr:row>263</xdr:row>
      <xdr:rowOff>6350</xdr:rowOff>
    </xdr:to>
    <xdr:sp macro="" textlink="">
      <xdr:nvSpPr>
        <xdr:cNvPr id="174" name="TextBox 173">
          <a:extLst>
            <a:ext uri="{FF2B5EF4-FFF2-40B4-BE49-F238E27FC236}">
              <a16:creationId xmlns:a16="http://schemas.microsoft.com/office/drawing/2014/main" id="{A8015B44-44AD-4B30-B7C2-BBD3BF5A63C1}"/>
            </a:ext>
          </a:extLst>
        </xdr:cNvPr>
        <xdr:cNvSpPr txBox="1"/>
      </xdr:nvSpPr>
      <xdr:spPr>
        <a:xfrm>
          <a:off x="311150" y="54622700"/>
          <a:ext cx="3295650" cy="215900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 w="9525" cmpd="sng">
          <a:solidFill>
            <a:schemeClr val="accent1">
              <a:lumMod val="20000"/>
              <a:lumOff val="8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000"/>
            <a:t>Fig. 7: Clamp Meter Showing L2-Current Readings</a:t>
          </a:r>
          <a:endParaRPr lang="en-NG" sz="1000"/>
        </a:p>
      </xdr:txBody>
    </xdr:sp>
    <xdr:clientData/>
  </xdr:twoCellAnchor>
  <xdr:twoCellAnchor>
    <xdr:from>
      <xdr:col>5</xdr:col>
      <xdr:colOff>12700</xdr:colOff>
      <xdr:row>247</xdr:row>
      <xdr:rowOff>184150</xdr:rowOff>
    </xdr:from>
    <xdr:to>
      <xdr:col>10</xdr:col>
      <xdr:colOff>12700</xdr:colOff>
      <xdr:row>261</xdr:row>
      <xdr:rowOff>158750</xdr:rowOff>
    </xdr:to>
    <xdr:sp macro="" textlink="">
      <xdr:nvSpPr>
        <xdr:cNvPr id="175" name="Rectangle 174">
          <a:extLst>
            <a:ext uri="{FF2B5EF4-FFF2-40B4-BE49-F238E27FC236}">
              <a16:creationId xmlns:a16="http://schemas.microsoft.com/office/drawing/2014/main" id="{C0F6F37C-0510-412B-9764-EF1B21F7DE5E}"/>
            </a:ext>
          </a:extLst>
        </xdr:cNvPr>
        <xdr:cNvSpPr/>
      </xdr:nvSpPr>
      <xdr:spPr>
        <a:xfrm>
          <a:off x="3759200" y="51866800"/>
          <a:ext cx="3092450" cy="2730500"/>
        </a:xfrm>
        <a:prstGeom prst="rect">
          <a:avLst/>
        </a:prstGeom>
        <a:noFill/>
        <a:ln>
          <a:solidFill>
            <a:schemeClr val="accent5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G" sz="1100"/>
        </a:p>
      </xdr:txBody>
    </xdr:sp>
    <xdr:clientData/>
  </xdr:twoCellAnchor>
  <xdr:twoCellAnchor>
    <xdr:from>
      <xdr:col>5</xdr:col>
      <xdr:colOff>19050</xdr:colOff>
      <xdr:row>261</xdr:row>
      <xdr:rowOff>171450</xdr:rowOff>
    </xdr:from>
    <xdr:to>
      <xdr:col>10</xdr:col>
      <xdr:colOff>31750</xdr:colOff>
      <xdr:row>262</xdr:row>
      <xdr:rowOff>190500</xdr:rowOff>
    </xdr:to>
    <xdr:sp macro="" textlink="">
      <xdr:nvSpPr>
        <xdr:cNvPr id="176" name="TextBox 175">
          <a:extLst>
            <a:ext uri="{FF2B5EF4-FFF2-40B4-BE49-F238E27FC236}">
              <a16:creationId xmlns:a16="http://schemas.microsoft.com/office/drawing/2014/main" id="{9A7C9807-98D0-4D61-9F2E-BDDC93927467}"/>
            </a:ext>
          </a:extLst>
        </xdr:cNvPr>
        <xdr:cNvSpPr txBox="1"/>
      </xdr:nvSpPr>
      <xdr:spPr>
        <a:xfrm>
          <a:off x="3765550" y="54610000"/>
          <a:ext cx="3105150" cy="215900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 w="9525" cmpd="sng">
          <a:solidFill>
            <a:schemeClr val="accent1">
              <a:lumMod val="20000"/>
              <a:lumOff val="8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000"/>
            <a:t>Fig. 8: Clamp Meter Showing L3-Current Readings</a:t>
          </a:r>
          <a:endParaRPr lang="en-NG" sz="1000"/>
        </a:p>
      </xdr:txBody>
    </xdr:sp>
    <xdr:clientData/>
  </xdr:twoCellAnchor>
  <xdr:twoCellAnchor>
    <xdr:from>
      <xdr:col>5</xdr:col>
      <xdr:colOff>63500</xdr:colOff>
      <xdr:row>148</xdr:row>
      <xdr:rowOff>0</xdr:rowOff>
    </xdr:from>
    <xdr:to>
      <xdr:col>5</xdr:col>
      <xdr:colOff>603500</xdr:colOff>
      <xdr:row>148</xdr:row>
      <xdr:rowOff>196850</xdr:rowOff>
    </xdr:to>
    <xdr:sp macro="" textlink="">
      <xdr:nvSpPr>
        <xdr:cNvPr id="185" name="TextBox 184">
          <a:extLst>
            <a:ext uri="{FF2B5EF4-FFF2-40B4-BE49-F238E27FC236}">
              <a16:creationId xmlns:a16="http://schemas.microsoft.com/office/drawing/2014/main" id="{E54320AE-5F98-4E5C-BB67-54F7B7217D09}"/>
            </a:ext>
          </a:extLst>
        </xdr:cNvPr>
        <xdr:cNvSpPr txBox="1"/>
      </xdr:nvSpPr>
      <xdr:spPr>
        <a:xfrm>
          <a:off x="3619500" y="31673800"/>
          <a:ext cx="540000" cy="1968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050">
              <a:latin typeface="Abadi" panose="020B0604020104020204" pitchFamily="34" charset="0"/>
            </a:rPr>
            <a:t>Model</a:t>
          </a:r>
          <a:endParaRPr lang="en-NG" sz="1050">
            <a:latin typeface="Abadi" panose="020B0604020104020204" pitchFamily="34" charset="0"/>
          </a:endParaRPr>
        </a:p>
      </xdr:txBody>
    </xdr:sp>
    <xdr:clientData/>
  </xdr:twoCellAnchor>
  <xdr:twoCellAnchor>
    <xdr:from>
      <xdr:col>0</xdr:col>
      <xdr:colOff>304800</xdr:colOff>
      <xdr:row>264</xdr:row>
      <xdr:rowOff>19050</xdr:rowOff>
    </xdr:from>
    <xdr:to>
      <xdr:col>10</xdr:col>
      <xdr:colOff>0</xdr:colOff>
      <xdr:row>291</xdr:row>
      <xdr:rowOff>63500</xdr:rowOff>
    </xdr:to>
    <xdr:sp macro="" textlink="">
      <xdr:nvSpPr>
        <xdr:cNvPr id="186" name="Rectangle 185">
          <a:extLst>
            <a:ext uri="{FF2B5EF4-FFF2-40B4-BE49-F238E27FC236}">
              <a16:creationId xmlns:a16="http://schemas.microsoft.com/office/drawing/2014/main" id="{E6DD534C-15B0-4FF5-97D0-A0453D3C7492}"/>
            </a:ext>
          </a:extLst>
        </xdr:cNvPr>
        <xdr:cNvSpPr/>
      </xdr:nvSpPr>
      <xdr:spPr>
        <a:xfrm>
          <a:off x="304800" y="55048150"/>
          <a:ext cx="6534150" cy="5359400"/>
        </a:xfrm>
        <a:prstGeom prst="rect">
          <a:avLst/>
        </a:prstGeom>
        <a:noFill/>
        <a:ln>
          <a:solidFill>
            <a:schemeClr val="accent5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G" sz="1100"/>
        </a:p>
      </xdr:txBody>
    </xdr:sp>
    <xdr:clientData/>
  </xdr:twoCellAnchor>
  <xdr:twoCellAnchor>
    <xdr:from>
      <xdr:col>0</xdr:col>
      <xdr:colOff>311150</xdr:colOff>
      <xdr:row>291</xdr:row>
      <xdr:rowOff>139700</xdr:rowOff>
    </xdr:from>
    <xdr:to>
      <xdr:col>4</xdr:col>
      <xdr:colOff>615950</xdr:colOff>
      <xdr:row>292</xdr:row>
      <xdr:rowOff>158750</xdr:rowOff>
    </xdr:to>
    <xdr:sp macro="" textlink="">
      <xdr:nvSpPr>
        <xdr:cNvPr id="187" name="TextBox 186">
          <a:extLst>
            <a:ext uri="{FF2B5EF4-FFF2-40B4-BE49-F238E27FC236}">
              <a16:creationId xmlns:a16="http://schemas.microsoft.com/office/drawing/2014/main" id="{F2BABA31-DCE4-4EFB-8E7A-2368DFA19E7A}"/>
            </a:ext>
          </a:extLst>
        </xdr:cNvPr>
        <xdr:cNvSpPr txBox="1"/>
      </xdr:nvSpPr>
      <xdr:spPr>
        <a:xfrm>
          <a:off x="311150" y="60483750"/>
          <a:ext cx="3295650" cy="215900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 w="9525" cmpd="sng">
          <a:solidFill>
            <a:schemeClr val="accent1">
              <a:lumMod val="20000"/>
              <a:lumOff val="8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000"/>
            <a:t>Fig. 9: PHCN Bill</a:t>
          </a:r>
          <a:endParaRPr lang="en-NG" sz="1000"/>
        </a:p>
      </xdr:txBody>
    </xdr:sp>
    <xdr:clientData/>
  </xdr:twoCellAnchor>
  <xdr:twoCellAnchor>
    <xdr:from>
      <xdr:col>0</xdr:col>
      <xdr:colOff>158750</xdr:colOff>
      <xdr:row>299</xdr:row>
      <xdr:rowOff>139700</xdr:rowOff>
    </xdr:from>
    <xdr:to>
      <xdr:col>9</xdr:col>
      <xdr:colOff>762000</xdr:colOff>
      <xdr:row>343</xdr:row>
      <xdr:rowOff>171450</xdr:rowOff>
    </xdr:to>
    <xdr:sp macro="" textlink="">
      <xdr:nvSpPr>
        <xdr:cNvPr id="190" name="Rectangle 189">
          <a:extLst>
            <a:ext uri="{FF2B5EF4-FFF2-40B4-BE49-F238E27FC236}">
              <a16:creationId xmlns:a16="http://schemas.microsoft.com/office/drawing/2014/main" id="{585AC344-734F-4EFB-9BF8-ED5E5016E3DE}"/>
            </a:ext>
          </a:extLst>
        </xdr:cNvPr>
        <xdr:cNvSpPr/>
      </xdr:nvSpPr>
      <xdr:spPr>
        <a:xfrm>
          <a:off x="158750" y="62058550"/>
          <a:ext cx="6534150" cy="8693150"/>
        </a:xfrm>
        <a:prstGeom prst="rect">
          <a:avLst/>
        </a:prstGeom>
        <a:noFill/>
        <a:ln>
          <a:solidFill>
            <a:schemeClr val="accent5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G" sz="1100"/>
        </a:p>
      </xdr:txBody>
    </xdr:sp>
    <xdr:clientData/>
  </xdr:twoCellAnchor>
  <xdr:twoCellAnchor>
    <xdr:from>
      <xdr:col>0</xdr:col>
      <xdr:colOff>165100</xdr:colOff>
      <xdr:row>344</xdr:row>
      <xdr:rowOff>38100</xdr:rowOff>
    </xdr:from>
    <xdr:to>
      <xdr:col>4</xdr:col>
      <xdr:colOff>469900</xdr:colOff>
      <xdr:row>345</xdr:row>
      <xdr:rowOff>57150</xdr:rowOff>
    </xdr:to>
    <xdr:sp macro="" textlink="">
      <xdr:nvSpPr>
        <xdr:cNvPr id="191" name="TextBox 190">
          <a:extLst>
            <a:ext uri="{FF2B5EF4-FFF2-40B4-BE49-F238E27FC236}">
              <a16:creationId xmlns:a16="http://schemas.microsoft.com/office/drawing/2014/main" id="{842C789D-8FC0-4814-AF36-C5A4CB074A20}"/>
            </a:ext>
          </a:extLst>
        </xdr:cNvPr>
        <xdr:cNvSpPr txBox="1"/>
      </xdr:nvSpPr>
      <xdr:spPr>
        <a:xfrm>
          <a:off x="165100" y="70815200"/>
          <a:ext cx="3105150" cy="215900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 w="9525" cmpd="sng">
          <a:solidFill>
            <a:schemeClr val="accent1">
              <a:lumMod val="20000"/>
              <a:lumOff val="8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000"/>
            <a:t>Fig. 10: </a:t>
          </a:r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PHCN Bill</a:t>
          </a:r>
          <a:endParaRPr lang="en-NG" sz="1000"/>
        </a:p>
      </xdr:txBody>
    </xdr:sp>
    <xdr:clientData/>
  </xdr:twoCellAnchor>
  <xdr:twoCellAnchor>
    <xdr:from>
      <xdr:col>0</xdr:col>
      <xdr:colOff>196850</xdr:colOff>
      <xdr:row>352</xdr:row>
      <xdr:rowOff>57150</xdr:rowOff>
    </xdr:from>
    <xdr:to>
      <xdr:col>9</xdr:col>
      <xdr:colOff>800100</xdr:colOff>
      <xdr:row>394</xdr:row>
      <xdr:rowOff>171450</xdr:rowOff>
    </xdr:to>
    <xdr:sp macro="" textlink="">
      <xdr:nvSpPr>
        <xdr:cNvPr id="192" name="Rectangle 191">
          <a:extLst>
            <a:ext uri="{FF2B5EF4-FFF2-40B4-BE49-F238E27FC236}">
              <a16:creationId xmlns:a16="http://schemas.microsoft.com/office/drawing/2014/main" id="{F54F5766-C9D8-41DA-8C6E-E59B6ECF3FC3}"/>
            </a:ext>
          </a:extLst>
        </xdr:cNvPr>
        <xdr:cNvSpPr/>
      </xdr:nvSpPr>
      <xdr:spPr>
        <a:xfrm>
          <a:off x="196850" y="72409050"/>
          <a:ext cx="6534150" cy="8382000"/>
        </a:xfrm>
        <a:prstGeom prst="rect">
          <a:avLst/>
        </a:prstGeom>
        <a:noFill/>
        <a:ln>
          <a:solidFill>
            <a:schemeClr val="accent5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G" sz="1100"/>
        </a:p>
      </xdr:txBody>
    </xdr:sp>
    <xdr:clientData/>
  </xdr:twoCellAnchor>
  <xdr:twoCellAnchor>
    <xdr:from>
      <xdr:col>0</xdr:col>
      <xdr:colOff>203200</xdr:colOff>
      <xdr:row>395</xdr:row>
      <xdr:rowOff>38100</xdr:rowOff>
    </xdr:from>
    <xdr:to>
      <xdr:col>4</xdr:col>
      <xdr:colOff>508000</xdr:colOff>
      <xdr:row>396</xdr:row>
      <xdr:rowOff>57150</xdr:rowOff>
    </xdr:to>
    <xdr:sp macro="" textlink="">
      <xdr:nvSpPr>
        <xdr:cNvPr id="193" name="TextBox 192">
          <a:extLst>
            <a:ext uri="{FF2B5EF4-FFF2-40B4-BE49-F238E27FC236}">
              <a16:creationId xmlns:a16="http://schemas.microsoft.com/office/drawing/2014/main" id="{AF8A0509-29C3-4D0D-BA1D-FE57665339D7}"/>
            </a:ext>
          </a:extLst>
        </xdr:cNvPr>
        <xdr:cNvSpPr txBox="1"/>
      </xdr:nvSpPr>
      <xdr:spPr>
        <a:xfrm>
          <a:off x="203200" y="80854550"/>
          <a:ext cx="3105150" cy="215900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 w="9525" cmpd="sng">
          <a:solidFill>
            <a:schemeClr val="accent1">
              <a:lumMod val="20000"/>
              <a:lumOff val="8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000"/>
            <a:t>Fig. 11: </a:t>
          </a:r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PHCN Bill</a:t>
          </a:r>
          <a:endParaRPr lang="en-NG" sz="1000"/>
        </a:p>
      </xdr:txBody>
    </xdr:sp>
    <xdr:clientData/>
  </xdr:twoCellAnchor>
  <xdr:twoCellAnchor>
    <xdr:from>
      <xdr:col>0</xdr:col>
      <xdr:colOff>203200</xdr:colOff>
      <xdr:row>403</xdr:row>
      <xdr:rowOff>184150</xdr:rowOff>
    </xdr:from>
    <xdr:to>
      <xdr:col>9</xdr:col>
      <xdr:colOff>806450</xdr:colOff>
      <xdr:row>448</xdr:row>
      <xdr:rowOff>6350</xdr:rowOff>
    </xdr:to>
    <xdr:sp macro="" textlink="">
      <xdr:nvSpPr>
        <xdr:cNvPr id="194" name="Rectangle 193">
          <a:extLst>
            <a:ext uri="{FF2B5EF4-FFF2-40B4-BE49-F238E27FC236}">
              <a16:creationId xmlns:a16="http://schemas.microsoft.com/office/drawing/2014/main" id="{BE4FF516-5A1C-4240-9DA7-2C1AB94375E2}"/>
            </a:ext>
          </a:extLst>
        </xdr:cNvPr>
        <xdr:cNvSpPr/>
      </xdr:nvSpPr>
      <xdr:spPr>
        <a:xfrm>
          <a:off x="203200" y="82575400"/>
          <a:ext cx="6534150" cy="8680450"/>
        </a:xfrm>
        <a:prstGeom prst="rect">
          <a:avLst/>
        </a:prstGeom>
        <a:noFill/>
        <a:ln>
          <a:solidFill>
            <a:schemeClr val="accent5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G" sz="1100"/>
        </a:p>
      </xdr:txBody>
    </xdr:sp>
    <xdr:clientData/>
  </xdr:twoCellAnchor>
  <xdr:twoCellAnchor>
    <xdr:from>
      <xdr:col>0</xdr:col>
      <xdr:colOff>209550</xdr:colOff>
      <xdr:row>448</xdr:row>
      <xdr:rowOff>69850</xdr:rowOff>
    </xdr:from>
    <xdr:to>
      <xdr:col>4</xdr:col>
      <xdr:colOff>514350</xdr:colOff>
      <xdr:row>449</xdr:row>
      <xdr:rowOff>88900</xdr:rowOff>
    </xdr:to>
    <xdr:sp macro="" textlink="">
      <xdr:nvSpPr>
        <xdr:cNvPr id="195" name="TextBox 194">
          <a:extLst>
            <a:ext uri="{FF2B5EF4-FFF2-40B4-BE49-F238E27FC236}">
              <a16:creationId xmlns:a16="http://schemas.microsoft.com/office/drawing/2014/main" id="{99563876-7142-4108-9FCF-E02A0CD6A5DB}"/>
            </a:ext>
          </a:extLst>
        </xdr:cNvPr>
        <xdr:cNvSpPr txBox="1"/>
      </xdr:nvSpPr>
      <xdr:spPr>
        <a:xfrm>
          <a:off x="209550" y="91319350"/>
          <a:ext cx="3105150" cy="215900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 w="9525" cmpd="sng">
          <a:solidFill>
            <a:schemeClr val="accent1">
              <a:lumMod val="20000"/>
              <a:lumOff val="8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000"/>
            <a:t>Fig. 12: </a:t>
          </a:r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Diesel Bill</a:t>
          </a:r>
          <a:endParaRPr lang="en-NG" sz="1000"/>
        </a:p>
      </xdr:txBody>
    </xdr:sp>
    <xdr:clientData/>
  </xdr:twoCellAnchor>
  <xdr:twoCellAnchor>
    <xdr:from>
      <xdr:col>0</xdr:col>
      <xdr:colOff>190500</xdr:colOff>
      <xdr:row>455</xdr:row>
      <xdr:rowOff>184150</xdr:rowOff>
    </xdr:from>
    <xdr:to>
      <xdr:col>9</xdr:col>
      <xdr:colOff>793750</xdr:colOff>
      <xdr:row>499</xdr:row>
      <xdr:rowOff>38100</xdr:rowOff>
    </xdr:to>
    <xdr:sp macro="" textlink="">
      <xdr:nvSpPr>
        <xdr:cNvPr id="196" name="Rectangle 195">
          <a:extLst>
            <a:ext uri="{FF2B5EF4-FFF2-40B4-BE49-F238E27FC236}">
              <a16:creationId xmlns:a16="http://schemas.microsoft.com/office/drawing/2014/main" id="{2130029E-2FF1-4FAA-A2B9-0F921D6C7563}"/>
            </a:ext>
          </a:extLst>
        </xdr:cNvPr>
        <xdr:cNvSpPr/>
      </xdr:nvSpPr>
      <xdr:spPr>
        <a:xfrm>
          <a:off x="190500" y="92811600"/>
          <a:ext cx="6534150" cy="8515350"/>
        </a:xfrm>
        <a:prstGeom prst="rect">
          <a:avLst/>
        </a:prstGeom>
        <a:noFill/>
        <a:ln>
          <a:solidFill>
            <a:schemeClr val="accent5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G" sz="1100"/>
        </a:p>
      </xdr:txBody>
    </xdr:sp>
    <xdr:clientData/>
  </xdr:twoCellAnchor>
  <xdr:twoCellAnchor>
    <xdr:from>
      <xdr:col>0</xdr:col>
      <xdr:colOff>196850</xdr:colOff>
      <xdr:row>499</xdr:row>
      <xdr:rowOff>101600</xdr:rowOff>
    </xdr:from>
    <xdr:to>
      <xdr:col>4</xdr:col>
      <xdr:colOff>501650</xdr:colOff>
      <xdr:row>500</xdr:row>
      <xdr:rowOff>120650</xdr:rowOff>
    </xdr:to>
    <xdr:sp macro="" textlink="">
      <xdr:nvSpPr>
        <xdr:cNvPr id="197" name="TextBox 196">
          <a:extLst>
            <a:ext uri="{FF2B5EF4-FFF2-40B4-BE49-F238E27FC236}">
              <a16:creationId xmlns:a16="http://schemas.microsoft.com/office/drawing/2014/main" id="{3C276807-D751-4289-A483-5EEA30B77E2A}"/>
            </a:ext>
          </a:extLst>
        </xdr:cNvPr>
        <xdr:cNvSpPr txBox="1"/>
      </xdr:nvSpPr>
      <xdr:spPr>
        <a:xfrm>
          <a:off x="196850" y="101390450"/>
          <a:ext cx="3105150" cy="215900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 w="9525" cmpd="sng">
          <a:solidFill>
            <a:schemeClr val="accent1">
              <a:lumMod val="20000"/>
              <a:lumOff val="8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000"/>
            <a:t>Fig. 13: </a:t>
          </a:r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Diesel Bill</a:t>
          </a:r>
          <a:endParaRPr lang="en-NG" sz="1000"/>
        </a:p>
      </xdr:txBody>
    </xdr:sp>
    <xdr:clientData/>
  </xdr:twoCellAnchor>
  <xdr:twoCellAnchor>
    <xdr:from>
      <xdr:col>0</xdr:col>
      <xdr:colOff>209550</xdr:colOff>
      <xdr:row>508</xdr:row>
      <xdr:rowOff>12700</xdr:rowOff>
    </xdr:from>
    <xdr:to>
      <xdr:col>9</xdr:col>
      <xdr:colOff>812800</xdr:colOff>
      <xdr:row>551</xdr:row>
      <xdr:rowOff>158750</xdr:rowOff>
    </xdr:to>
    <xdr:sp macro="" textlink="">
      <xdr:nvSpPr>
        <xdr:cNvPr id="198" name="Rectangle 197">
          <a:extLst>
            <a:ext uri="{FF2B5EF4-FFF2-40B4-BE49-F238E27FC236}">
              <a16:creationId xmlns:a16="http://schemas.microsoft.com/office/drawing/2014/main" id="{36CEE820-FB79-462A-948E-DF668ADA18A5}"/>
            </a:ext>
          </a:extLst>
        </xdr:cNvPr>
        <xdr:cNvSpPr/>
      </xdr:nvSpPr>
      <xdr:spPr>
        <a:xfrm>
          <a:off x="209550" y="103073200"/>
          <a:ext cx="6534150" cy="8610600"/>
        </a:xfrm>
        <a:prstGeom prst="rect">
          <a:avLst/>
        </a:prstGeom>
        <a:noFill/>
        <a:ln>
          <a:solidFill>
            <a:schemeClr val="accent5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G" sz="1100"/>
        </a:p>
      </xdr:txBody>
    </xdr:sp>
    <xdr:clientData/>
  </xdr:twoCellAnchor>
  <xdr:twoCellAnchor>
    <xdr:from>
      <xdr:col>0</xdr:col>
      <xdr:colOff>215900</xdr:colOff>
      <xdr:row>552</xdr:row>
      <xdr:rowOff>25400</xdr:rowOff>
    </xdr:from>
    <xdr:to>
      <xdr:col>4</xdr:col>
      <xdr:colOff>520700</xdr:colOff>
      <xdr:row>553</xdr:row>
      <xdr:rowOff>44450</xdr:rowOff>
    </xdr:to>
    <xdr:sp macro="" textlink="">
      <xdr:nvSpPr>
        <xdr:cNvPr id="199" name="TextBox 198">
          <a:extLst>
            <a:ext uri="{FF2B5EF4-FFF2-40B4-BE49-F238E27FC236}">
              <a16:creationId xmlns:a16="http://schemas.microsoft.com/office/drawing/2014/main" id="{8FE45E96-E3F0-4D3F-9CC9-EA3625A5F81E}"/>
            </a:ext>
          </a:extLst>
        </xdr:cNvPr>
        <xdr:cNvSpPr txBox="1"/>
      </xdr:nvSpPr>
      <xdr:spPr>
        <a:xfrm>
          <a:off x="215900" y="111747300"/>
          <a:ext cx="3105150" cy="215900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 w="9525" cmpd="sng">
          <a:solidFill>
            <a:schemeClr val="accent1">
              <a:lumMod val="20000"/>
              <a:lumOff val="8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000"/>
            <a:t>Fig. 14: </a:t>
          </a:r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Diesel Bill</a:t>
          </a:r>
          <a:endParaRPr lang="en-NG" sz="1000"/>
        </a:p>
      </xdr:txBody>
    </xdr:sp>
    <xdr:clientData/>
  </xdr:twoCellAnchor>
  <xdr:twoCellAnchor>
    <xdr:from>
      <xdr:col>14</xdr:col>
      <xdr:colOff>25400</xdr:colOff>
      <xdr:row>148</xdr:row>
      <xdr:rowOff>0</xdr:rowOff>
    </xdr:from>
    <xdr:to>
      <xdr:col>16</xdr:col>
      <xdr:colOff>622300</xdr:colOff>
      <xdr:row>149</xdr:row>
      <xdr:rowOff>12700</xdr:rowOff>
    </xdr:to>
    <xdr:sp macro="" textlink="">
      <xdr:nvSpPr>
        <xdr:cNvPr id="200" name="TextBox 199">
          <a:extLst>
            <a:ext uri="{FF2B5EF4-FFF2-40B4-BE49-F238E27FC236}">
              <a16:creationId xmlns:a16="http://schemas.microsoft.com/office/drawing/2014/main" id="{72CA7A27-B0B3-4B9F-88C1-BBD77BE2A688}"/>
            </a:ext>
          </a:extLst>
        </xdr:cNvPr>
        <xdr:cNvSpPr txBox="1"/>
      </xdr:nvSpPr>
      <xdr:spPr>
        <a:xfrm>
          <a:off x="685800" y="31673800"/>
          <a:ext cx="1993900" cy="2159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050">
              <a:latin typeface="Abadi" panose="020B0604020104020204" pitchFamily="34" charset="0"/>
            </a:rPr>
            <a:t>Aplliances</a:t>
          </a:r>
          <a:endParaRPr lang="en-NG" sz="1050">
            <a:latin typeface="Abadi" panose="020B0604020104020204" pitchFamily="34" charset="0"/>
          </a:endParaRPr>
        </a:p>
      </xdr:txBody>
    </xdr:sp>
    <xdr:clientData/>
  </xdr:twoCellAnchor>
  <xdr:twoCellAnchor>
    <xdr:from>
      <xdr:col>0</xdr:col>
      <xdr:colOff>57150</xdr:colOff>
      <xdr:row>243</xdr:row>
      <xdr:rowOff>69850</xdr:rowOff>
    </xdr:from>
    <xdr:to>
      <xdr:col>1</xdr:col>
      <xdr:colOff>289560</xdr:colOff>
      <xdr:row>245</xdr:row>
      <xdr:rowOff>160020</xdr:rowOff>
    </xdr:to>
    <xdr:sp macro="" textlink="">
      <xdr:nvSpPr>
        <xdr:cNvPr id="203" name="Rectangle 202">
          <a:extLst>
            <a:ext uri="{FF2B5EF4-FFF2-40B4-BE49-F238E27FC236}">
              <a16:creationId xmlns:a16="http://schemas.microsoft.com/office/drawing/2014/main" id="{794CF170-1037-4A71-ADCE-385E76EC96AB}"/>
            </a:ext>
          </a:extLst>
        </xdr:cNvPr>
        <xdr:cNvSpPr/>
      </xdr:nvSpPr>
      <xdr:spPr>
        <a:xfrm>
          <a:off x="57150" y="51062890"/>
          <a:ext cx="895350" cy="471170"/>
        </a:xfrm>
        <a:prstGeom prst="rect">
          <a:avLst/>
        </a:prstGeom>
        <a:blipFill dpi="0" rotWithShape="1"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G" sz="1100"/>
        </a:p>
      </xdr:txBody>
    </xdr:sp>
    <xdr:clientData/>
  </xdr:twoCellAnchor>
  <xdr:twoCellAnchor>
    <xdr:from>
      <xdr:col>0</xdr:col>
      <xdr:colOff>63500</xdr:colOff>
      <xdr:row>295</xdr:row>
      <xdr:rowOff>57150</xdr:rowOff>
    </xdr:from>
    <xdr:to>
      <xdr:col>1</xdr:col>
      <xdr:colOff>335280</xdr:colOff>
      <xdr:row>297</xdr:row>
      <xdr:rowOff>144780</xdr:rowOff>
    </xdr:to>
    <xdr:sp macro="" textlink="">
      <xdr:nvSpPr>
        <xdr:cNvPr id="204" name="Rectangle 203">
          <a:extLst>
            <a:ext uri="{FF2B5EF4-FFF2-40B4-BE49-F238E27FC236}">
              <a16:creationId xmlns:a16="http://schemas.microsoft.com/office/drawing/2014/main" id="{AB15FF8E-7C47-420F-A9F3-01648E7C9C5E}"/>
            </a:ext>
          </a:extLst>
        </xdr:cNvPr>
        <xdr:cNvSpPr/>
      </xdr:nvSpPr>
      <xdr:spPr>
        <a:xfrm>
          <a:off x="63500" y="60956190"/>
          <a:ext cx="934720" cy="468630"/>
        </a:xfrm>
        <a:prstGeom prst="rect">
          <a:avLst/>
        </a:prstGeom>
        <a:blipFill dpi="0" rotWithShape="1"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G" sz="1100"/>
        </a:p>
      </xdr:txBody>
    </xdr:sp>
    <xdr:clientData/>
  </xdr:twoCellAnchor>
  <xdr:twoCellAnchor>
    <xdr:from>
      <xdr:col>0</xdr:col>
      <xdr:colOff>69850</xdr:colOff>
      <xdr:row>347</xdr:row>
      <xdr:rowOff>76200</xdr:rowOff>
    </xdr:from>
    <xdr:to>
      <xdr:col>1</xdr:col>
      <xdr:colOff>304800</xdr:colOff>
      <xdr:row>349</xdr:row>
      <xdr:rowOff>144780</xdr:rowOff>
    </xdr:to>
    <xdr:sp macro="" textlink="">
      <xdr:nvSpPr>
        <xdr:cNvPr id="205" name="Rectangle 204">
          <a:extLst>
            <a:ext uri="{FF2B5EF4-FFF2-40B4-BE49-F238E27FC236}">
              <a16:creationId xmlns:a16="http://schemas.microsoft.com/office/drawing/2014/main" id="{D18993FB-7759-4E53-9916-3B068F6A4977}"/>
            </a:ext>
          </a:extLst>
        </xdr:cNvPr>
        <xdr:cNvSpPr/>
      </xdr:nvSpPr>
      <xdr:spPr>
        <a:xfrm>
          <a:off x="69850" y="70881240"/>
          <a:ext cx="897890" cy="449580"/>
        </a:xfrm>
        <a:prstGeom prst="rect">
          <a:avLst/>
        </a:prstGeom>
        <a:blipFill dpi="0" rotWithShape="1"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G" sz="1100"/>
        </a:p>
      </xdr:txBody>
    </xdr:sp>
    <xdr:clientData/>
  </xdr:twoCellAnchor>
  <xdr:twoCellAnchor>
    <xdr:from>
      <xdr:col>0</xdr:col>
      <xdr:colOff>63500</xdr:colOff>
      <xdr:row>399</xdr:row>
      <xdr:rowOff>82550</xdr:rowOff>
    </xdr:from>
    <xdr:to>
      <xdr:col>1</xdr:col>
      <xdr:colOff>365760</xdr:colOff>
      <xdr:row>401</xdr:row>
      <xdr:rowOff>175260</xdr:rowOff>
    </xdr:to>
    <xdr:sp macro="" textlink="">
      <xdr:nvSpPr>
        <xdr:cNvPr id="206" name="Rectangle 205">
          <a:extLst>
            <a:ext uri="{FF2B5EF4-FFF2-40B4-BE49-F238E27FC236}">
              <a16:creationId xmlns:a16="http://schemas.microsoft.com/office/drawing/2014/main" id="{0E1E45D5-724D-4EE9-9AA4-295BCCD65058}"/>
            </a:ext>
          </a:extLst>
        </xdr:cNvPr>
        <xdr:cNvSpPr/>
      </xdr:nvSpPr>
      <xdr:spPr>
        <a:xfrm>
          <a:off x="63500" y="80793590"/>
          <a:ext cx="965200" cy="473710"/>
        </a:xfrm>
        <a:prstGeom prst="rect">
          <a:avLst/>
        </a:prstGeom>
        <a:blipFill dpi="0" rotWithShape="1"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G" sz="1100"/>
        </a:p>
      </xdr:txBody>
    </xdr:sp>
    <xdr:clientData/>
  </xdr:twoCellAnchor>
  <xdr:twoCellAnchor>
    <xdr:from>
      <xdr:col>0</xdr:col>
      <xdr:colOff>76200</xdr:colOff>
      <xdr:row>451</xdr:row>
      <xdr:rowOff>88900</xdr:rowOff>
    </xdr:from>
    <xdr:to>
      <xdr:col>1</xdr:col>
      <xdr:colOff>281940</xdr:colOff>
      <xdr:row>453</xdr:row>
      <xdr:rowOff>152400</xdr:rowOff>
    </xdr:to>
    <xdr:sp macro="" textlink="">
      <xdr:nvSpPr>
        <xdr:cNvPr id="207" name="Rectangle 206">
          <a:extLst>
            <a:ext uri="{FF2B5EF4-FFF2-40B4-BE49-F238E27FC236}">
              <a16:creationId xmlns:a16="http://schemas.microsoft.com/office/drawing/2014/main" id="{FC291B79-5768-45AC-96B3-82C9C0B44AE0}"/>
            </a:ext>
          </a:extLst>
        </xdr:cNvPr>
        <xdr:cNvSpPr/>
      </xdr:nvSpPr>
      <xdr:spPr>
        <a:xfrm>
          <a:off x="76200" y="90705940"/>
          <a:ext cx="868680" cy="444500"/>
        </a:xfrm>
        <a:prstGeom prst="rect">
          <a:avLst/>
        </a:prstGeom>
        <a:blipFill dpi="0" rotWithShape="1"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G" sz="1100"/>
        </a:p>
      </xdr:txBody>
    </xdr:sp>
    <xdr:clientData/>
  </xdr:twoCellAnchor>
  <xdr:twoCellAnchor>
    <xdr:from>
      <xdr:col>0</xdr:col>
      <xdr:colOff>82550</xdr:colOff>
      <xdr:row>503</xdr:row>
      <xdr:rowOff>88900</xdr:rowOff>
    </xdr:from>
    <xdr:to>
      <xdr:col>1</xdr:col>
      <xdr:colOff>213360</xdr:colOff>
      <xdr:row>505</xdr:row>
      <xdr:rowOff>53340</xdr:rowOff>
    </xdr:to>
    <xdr:sp macro="" textlink="">
      <xdr:nvSpPr>
        <xdr:cNvPr id="208" name="Rectangle 207">
          <a:extLst>
            <a:ext uri="{FF2B5EF4-FFF2-40B4-BE49-F238E27FC236}">
              <a16:creationId xmlns:a16="http://schemas.microsoft.com/office/drawing/2014/main" id="{AC118055-776D-46AE-B597-F2F52A66A9E3}"/>
            </a:ext>
          </a:extLst>
        </xdr:cNvPr>
        <xdr:cNvSpPr/>
      </xdr:nvSpPr>
      <xdr:spPr>
        <a:xfrm>
          <a:off x="82550" y="100611940"/>
          <a:ext cx="793750" cy="345440"/>
        </a:xfrm>
        <a:prstGeom prst="rect">
          <a:avLst/>
        </a:prstGeom>
        <a:blipFill dpi="0" rotWithShape="1"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G" sz="1100"/>
        </a:p>
      </xdr:txBody>
    </xdr:sp>
    <xdr:clientData/>
  </xdr:twoCellAnchor>
  <xdr:twoCellAnchor>
    <xdr:from>
      <xdr:col>0</xdr:col>
      <xdr:colOff>0</xdr:colOff>
      <xdr:row>104</xdr:row>
      <xdr:rowOff>0</xdr:rowOff>
    </xdr:from>
    <xdr:to>
      <xdr:col>1</xdr:col>
      <xdr:colOff>95600</xdr:colOff>
      <xdr:row>104</xdr:row>
      <xdr:rowOff>177800</xdr:rowOff>
    </xdr:to>
    <xdr:sp macro="" textlink="">
      <xdr:nvSpPr>
        <xdr:cNvPr id="233" name="TextBox 232">
          <a:extLst>
            <a:ext uri="{FF2B5EF4-FFF2-40B4-BE49-F238E27FC236}">
              <a16:creationId xmlns:a16="http://schemas.microsoft.com/office/drawing/2014/main" id="{B2BDE818-D839-8742-81CA-37560511D0AE}"/>
            </a:ext>
          </a:extLst>
        </xdr:cNvPr>
        <xdr:cNvSpPr txBox="1"/>
      </xdr:nvSpPr>
      <xdr:spPr>
        <a:xfrm>
          <a:off x="0" y="23703280"/>
          <a:ext cx="756000" cy="177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n-GB" sz="1050">
              <a:latin typeface="Abadi" panose="020B0604020104020204" pitchFamily="34" charset="0"/>
            </a:rPr>
            <a:t>09:00am</a:t>
          </a:r>
          <a:endParaRPr lang="en-NG" sz="1050">
            <a:latin typeface="Abadi" panose="020B0604020104020204" pitchFamily="34" charset="0"/>
          </a:endParaRPr>
        </a:p>
      </xdr:txBody>
    </xdr:sp>
    <xdr:clientData/>
  </xdr:twoCellAnchor>
  <xdr:twoCellAnchor>
    <xdr:from>
      <xdr:col>0</xdr:col>
      <xdr:colOff>0</xdr:colOff>
      <xdr:row>104</xdr:row>
      <xdr:rowOff>0</xdr:rowOff>
    </xdr:from>
    <xdr:to>
      <xdr:col>1</xdr:col>
      <xdr:colOff>95600</xdr:colOff>
      <xdr:row>104</xdr:row>
      <xdr:rowOff>177800</xdr:rowOff>
    </xdr:to>
    <xdr:sp macro="" textlink="">
      <xdr:nvSpPr>
        <xdr:cNvPr id="234" name="TextBox 233">
          <a:extLst>
            <a:ext uri="{FF2B5EF4-FFF2-40B4-BE49-F238E27FC236}">
              <a16:creationId xmlns:a16="http://schemas.microsoft.com/office/drawing/2014/main" id="{A8796D59-D103-7447-BFF8-B427233B0B40}"/>
            </a:ext>
          </a:extLst>
        </xdr:cNvPr>
        <xdr:cNvSpPr txBox="1"/>
      </xdr:nvSpPr>
      <xdr:spPr>
        <a:xfrm>
          <a:off x="0" y="23703280"/>
          <a:ext cx="756000" cy="177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n-GB" sz="1050">
              <a:latin typeface="Abadi" panose="020B0604020104020204" pitchFamily="34" charset="0"/>
            </a:rPr>
            <a:t>09:00am</a:t>
          </a:r>
          <a:endParaRPr lang="en-NG" sz="1050">
            <a:latin typeface="Abadi" panose="020B0604020104020204" pitchFamily="34" charset="0"/>
          </a:endParaRPr>
        </a:p>
      </xdr:txBody>
    </xdr:sp>
    <xdr:clientData/>
  </xdr:twoCellAnchor>
  <xdr:twoCellAnchor>
    <xdr:from>
      <xdr:col>0</xdr:col>
      <xdr:colOff>0</xdr:colOff>
      <xdr:row>109</xdr:row>
      <xdr:rowOff>0</xdr:rowOff>
    </xdr:from>
    <xdr:to>
      <xdr:col>1</xdr:col>
      <xdr:colOff>95600</xdr:colOff>
      <xdr:row>109</xdr:row>
      <xdr:rowOff>177800</xdr:rowOff>
    </xdr:to>
    <xdr:sp macro="" textlink="">
      <xdr:nvSpPr>
        <xdr:cNvPr id="235" name="TextBox 234">
          <a:extLst>
            <a:ext uri="{FF2B5EF4-FFF2-40B4-BE49-F238E27FC236}">
              <a16:creationId xmlns:a16="http://schemas.microsoft.com/office/drawing/2014/main" id="{4C444805-E5F6-D64E-BE34-B434EC15D8C7}"/>
            </a:ext>
          </a:extLst>
        </xdr:cNvPr>
        <xdr:cNvSpPr txBox="1"/>
      </xdr:nvSpPr>
      <xdr:spPr>
        <a:xfrm>
          <a:off x="0" y="23703280"/>
          <a:ext cx="756000" cy="177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n-GB" sz="1050">
              <a:latin typeface="Abadi" panose="020B0604020104020204" pitchFamily="34" charset="0"/>
            </a:rPr>
            <a:t>09:00am</a:t>
          </a:r>
          <a:endParaRPr lang="en-NG" sz="1050">
            <a:latin typeface="Abadi" panose="020B0604020104020204" pitchFamily="34" charset="0"/>
          </a:endParaRPr>
        </a:p>
      </xdr:txBody>
    </xdr:sp>
    <xdr:clientData/>
  </xdr:twoCellAnchor>
  <xdr:twoCellAnchor>
    <xdr:from>
      <xdr:col>0</xdr:col>
      <xdr:colOff>0</xdr:colOff>
      <xdr:row>110</xdr:row>
      <xdr:rowOff>6350</xdr:rowOff>
    </xdr:from>
    <xdr:to>
      <xdr:col>1</xdr:col>
      <xdr:colOff>95600</xdr:colOff>
      <xdr:row>110</xdr:row>
      <xdr:rowOff>184150</xdr:rowOff>
    </xdr:to>
    <xdr:sp macro="" textlink="">
      <xdr:nvSpPr>
        <xdr:cNvPr id="236" name="TextBox 235">
          <a:extLst>
            <a:ext uri="{FF2B5EF4-FFF2-40B4-BE49-F238E27FC236}">
              <a16:creationId xmlns:a16="http://schemas.microsoft.com/office/drawing/2014/main" id="{0F333913-EC3C-9F4A-99B2-312C185739A1}"/>
            </a:ext>
          </a:extLst>
        </xdr:cNvPr>
        <xdr:cNvSpPr txBox="1"/>
      </xdr:nvSpPr>
      <xdr:spPr>
        <a:xfrm>
          <a:off x="0" y="23943310"/>
          <a:ext cx="756000" cy="177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n-GB" sz="1050">
              <a:latin typeface="Abadi" panose="020B0604020104020204" pitchFamily="34" charset="0"/>
            </a:rPr>
            <a:t>09:15 am</a:t>
          </a:r>
          <a:endParaRPr lang="en-NG" sz="1050">
            <a:latin typeface="Abadi" panose="020B0604020104020204" pitchFamily="34" charset="0"/>
          </a:endParaRPr>
        </a:p>
      </xdr:txBody>
    </xdr:sp>
    <xdr:clientData/>
  </xdr:twoCellAnchor>
  <xdr:twoCellAnchor>
    <xdr:from>
      <xdr:col>0</xdr:col>
      <xdr:colOff>0</xdr:colOff>
      <xdr:row>111</xdr:row>
      <xdr:rowOff>6350</xdr:rowOff>
    </xdr:from>
    <xdr:to>
      <xdr:col>1</xdr:col>
      <xdr:colOff>95600</xdr:colOff>
      <xdr:row>111</xdr:row>
      <xdr:rowOff>184150</xdr:rowOff>
    </xdr:to>
    <xdr:sp macro="" textlink="">
      <xdr:nvSpPr>
        <xdr:cNvPr id="237" name="TextBox 236">
          <a:extLst>
            <a:ext uri="{FF2B5EF4-FFF2-40B4-BE49-F238E27FC236}">
              <a16:creationId xmlns:a16="http://schemas.microsoft.com/office/drawing/2014/main" id="{37B96B2C-ED8C-5942-A205-789A0680CD8D}"/>
            </a:ext>
          </a:extLst>
        </xdr:cNvPr>
        <xdr:cNvSpPr txBox="1"/>
      </xdr:nvSpPr>
      <xdr:spPr>
        <a:xfrm>
          <a:off x="0" y="24176990"/>
          <a:ext cx="756000" cy="177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n-GB" sz="1050">
              <a:latin typeface="Abadi" panose="020B0604020104020204" pitchFamily="34" charset="0"/>
            </a:rPr>
            <a:t>09:30 am</a:t>
          </a:r>
          <a:endParaRPr lang="en-NG" sz="1050">
            <a:latin typeface="Abadi" panose="020B0604020104020204" pitchFamily="34" charset="0"/>
          </a:endParaRPr>
        </a:p>
      </xdr:txBody>
    </xdr:sp>
    <xdr:clientData/>
  </xdr:twoCellAnchor>
  <xdr:twoCellAnchor>
    <xdr:from>
      <xdr:col>0</xdr:col>
      <xdr:colOff>0</xdr:colOff>
      <xdr:row>112</xdr:row>
      <xdr:rowOff>6350</xdr:rowOff>
    </xdr:from>
    <xdr:to>
      <xdr:col>1</xdr:col>
      <xdr:colOff>95600</xdr:colOff>
      <xdr:row>112</xdr:row>
      <xdr:rowOff>184150</xdr:rowOff>
    </xdr:to>
    <xdr:sp macro="" textlink="">
      <xdr:nvSpPr>
        <xdr:cNvPr id="238" name="TextBox 237">
          <a:extLst>
            <a:ext uri="{FF2B5EF4-FFF2-40B4-BE49-F238E27FC236}">
              <a16:creationId xmlns:a16="http://schemas.microsoft.com/office/drawing/2014/main" id="{33A72531-48ED-7748-85CB-7F2AFBB9F181}"/>
            </a:ext>
          </a:extLst>
        </xdr:cNvPr>
        <xdr:cNvSpPr txBox="1"/>
      </xdr:nvSpPr>
      <xdr:spPr>
        <a:xfrm>
          <a:off x="0" y="24410670"/>
          <a:ext cx="756000" cy="177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n-GB" sz="1050">
              <a:latin typeface="Abadi" panose="020B0604020104020204" pitchFamily="34" charset="0"/>
            </a:rPr>
            <a:t>09:45 am</a:t>
          </a:r>
          <a:endParaRPr lang="en-NG" sz="1050">
            <a:latin typeface="Abadi" panose="020B0604020104020204" pitchFamily="34" charset="0"/>
          </a:endParaRPr>
        </a:p>
      </xdr:txBody>
    </xdr:sp>
    <xdr:clientData/>
  </xdr:twoCellAnchor>
  <xdr:twoCellAnchor>
    <xdr:from>
      <xdr:col>0</xdr:col>
      <xdr:colOff>0</xdr:colOff>
      <xdr:row>113</xdr:row>
      <xdr:rowOff>6350</xdr:rowOff>
    </xdr:from>
    <xdr:to>
      <xdr:col>1</xdr:col>
      <xdr:colOff>95600</xdr:colOff>
      <xdr:row>113</xdr:row>
      <xdr:rowOff>184150</xdr:rowOff>
    </xdr:to>
    <xdr:sp macro="" textlink="">
      <xdr:nvSpPr>
        <xdr:cNvPr id="239" name="TextBox 238">
          <a:extLst>
            <a:ext uri="{FF2B5EF4-FFF2-40B4-BE49-F238E27FC236}">
              <a16:creationId xmlns:a16="http://schemas.microsoft.com/office/drawing/2014/main" id="{144B1229-A48E-0948-91E0-5F38317F0946}"/>
            </a:ext>
          </a:extLst>
        </xdr:cNvPr>
        <xdr:cNvSpPr txBox="1"/>
      </xdr:nvSpPr>
      <xdr:spPr>
        <a:xfrm>
          <a:off x="0" y="24644350"/>
          <a:ext cx="756000" cy="177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l"/>
          <a:r>
            <a:rPr lang="en-GB" sz="1050">
              <a:latin typeface="Abadi" panose="020B0604020104020204" pitchFamily="34" charset="0"/>
            </a:rPr>
            <a:t>10:00 am</a:t>
          </a:r>
          <a:endParaRPr lang="en-NG" sz="1050">
            <a:latin typeface="Abadi" panose="020B0604020104020204" pitchFamily="34" charset="0"/>
          </a:endParaRPr>
        </a:p>
      </xdr:txBody>
    </xdr:sp>
    <xdr:clientData/>
  </xdr:twoCellAnchor>
  <xdr:twoCellAnchor>
    <xdr:from>
      <xdr:col>0</xdr:col>
      <xdr:colOff>0</xdr:colOff>
      <xdr:row>114</xdr:row>
      <xdr:rowOff>6350</xdr:rowOff>
    </xdr:from>
    <xdr:to>
      <xdr:col>1</xdr:col>
      <xdr:colOff>95600</xdr:colOff>
      <xdr:row>114</xdr:row>
      <xdr:rowOff>184150</xdr:rowOff>
    </xdr:to>
    <xdr:sp macro="" textlink="">
      <xdr:nvSpPr>
        <xdr:cNvPr id="240" name="TextBox 239">
          <a:extLst>
            <a:ext uri="{FF2B5EF4-FFF2-40B4-BE49-F238E27FC236}">
              <a16:creationId xmlns:a16="http://schemas.microsoft.com/office/drawing/2014/main" id="{B05814AB-C92D-B847-9B07-AF5D3A25660A}"/>
            </a:ext>
          </a:extLst>
        </xdr:cNvPr>
        <xdr:cNvSpPr txBox="1"/>
      </xdr:nvSpPr>
      <xdr:spPr>
        <a:xfrm>
          <a:off x="0" y="24878030"/>
          <a:ext cx="756000" cy="177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GB" sz="1050">
              <a:latin typeface="Abadi" panose="020B0604020104020204" pitchFamily="34" charset="0"/>
            </a:rPr>
            <a:t>10:15</a:t>
          </a:r>
          <a:r>
            <a:rPr lang="en-GB" sz="1050" baseline="0">
              <a:latin typeface="Abadi" panose="020B0604020104020204" pitchFamily="34" charset="0"/>
            </a:rPr>
            <a:t> am</a:t>
          </a:r>
          <a:endParaRPr lang="en-NG" sz="1050">
            <a:latin typeface="Abadi" panose="020B0604020104020204" pitchFamily="34" charset="0"/>
          </a:endParaRPr>
        </a:p>
      </xdr:txBody>
    </xdr:sp>
    <xdr:clientData/>
  </xdr:twoCellAnchor>
  <xdr:twoCellAnchor>
    <xdr:from>
      <xdr:col>0</xdr:col>
      <xdr:colOff>0</xdr:colOff>
      <xdr:row>110</xdr:row>
      <xdr:rowOff>0</xdr:rowOff>
    </xdr:from>
    <xdr:to>
      <xdr:col>1</xdr:col>
      <xdr:colOff>95600</xdr:colOff>
      <xdr:row>110</xdr:row>
      <xdr:rowOff>177800</xdr:rowOff>
    </xdr:to>
    <xdr:sp macro="" textlink="">
      <xdr:nvSpPr>
        <xdr:cNvPr id="241" name="TextBox 240">
          <a:extLst>
            <a:ext uri="{FF2B5EF4-FFF2-40B4-BE49-F238E27FC236}">
              <a16:creationId xmlns:a16="http://schemas.microsoft.com/office/drawing/2014/main" id="{26064F30-3A4B-7A40-B21D-56B80B5B8F1A}"/>
            </a:ext>
          </a:extLst>
        </xdr:cNvPr>
        <xdr:cNvSpPr txBox="1"/>
      </xdr:nvSpPr>
      <xdr:spPr>
        <a:xfrm>
          <a:off x="0" y="23936960"/>
          <a:ext cx="756000" cy="177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n-GB" sz="1050">
              <a:latin typeface="Abadi" panose="020B0604020104020204" pitchFamily="34" charset="0"/>
            </a:rPr>
            <a:t>09:00am</a:t>
          </a:r>
          <a:endParaRPr lang="en-NG" sz="1050">
            <a:latin typeface="Abadi" panose="020B0604020104020204" pitchFamily="34" charset="0"/>
          </a:endParaRPr>
        </a:p>
      </xdr:txBody>
    </xdr:sp>
    <xdr:clientData/>
  </xdr:twoCellAnchor>
  <xdr:twoCellAnchor>
    <xdr:from>
      <xdr:col>0</xdr:col>
      <xdr:colOff>0</xdr:colOff>
      <xdr:row>110</xdr:row>
      <xdr:rowOff>0</xdr:rowOff>
    </xdr:from>
    <xdr:to>
      <xdr:col>1</xdr:col>
      <xdr:colOff>95600</xdr:colOff>
      <xdr:row>110</xdr:row>
      <xdr:rowOff>177800</xdr:rowOff>
    </xdr:to>
    <xdr:sp macro="" textlink="">
      <xdr:nvSpPr>
        <xdr:cNvPr id="242" name="TextBox 241">
          <a:extLst>
            <a:ext uri="{FF2B5EF4-FFF2-40B4-BE49-F238E27FC236}">
              <a16:creationId xmlns:a16="http://schemas.microsoft.com/office/drawing/2014/main" id="{750B35D6-34E5-C145-91F8-7C90C501D8E4}"/>
            </a:ext>
          </a:extLst>
        </xdr:cNvPr>
        <xdr:cNvSpPr txBox="1"/>
      </xdr:nvSpPr>
      <xdr:spPr>
        <a:xfrm>
          <a:off x="0" y="23936960"/>
          <a:ext cx="756000" cy="177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n-GB" sz="1050">
              <a:latin typeface="Abadi" panose="020B0604020104020204" pitchFamily="34" charset="0"/>
            </a:rPr>
            <a:t>09:00am</a:t>
          </a:r>
          <a:endParaRPr lang="en-NG" sz="1050">
            <a:latin typeface="Abadi" panose="020B0604020104020204" pitchFamily="34" charset="0"/>
          </a:endParaRPr>
        </a:p>
      </xdr:txBody>
    </xdr:sp>
    <xdr:clientData/>
  </xdr:twoCellAnchor>
  <xdr:twoCellAnchor>
    <xdr:from>
      <xdr:col>0</xdr:col>
      <xdr:colOff>0</xdr:colOff>
      <xdr:row>115</xdr:row>
      <xdr:rowOff>0</xdr:rowOff>
    </xdr:from>
    <xdr:to>
      <xdr:col>1</xdr:col>
      <xdr:colOff>95600</xdr:colOff>
      <xdr:row>115</xdr:row>
      <xdr:rowOff>177800</xdr:rowOff>
    </xdr:to>
    <xdr:sp macro="" textlink="">
      <xdr:nvSpPr>
        <xdr:cNvPr id="243" name="TextBox 242">
          <a:extLst>
            <a:ext uri="{FF2B5EF4-FFF2-40B4-BE49-F238E27FC236}">
              <a16:creationId xmlns:a16="http://schemas.microsoft.com/office/drawing/2014/main" id="{D43A79D6-7709-9A4A-9063-1D81D130E8CC}"/>
            </a:ext>
          </a:extLst>
        </xdr:cNvPr>
        <xdr:cNvSpPr txBox="1"/>
      </xdr:nvSpPr>
      <xdr:spPr>
        <a:xfrm>
          <a:off x="0" y="23703280"/>
          <a:ext cx="756000" cy="177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n-GB" sz="1050">
              <a:latin typeface="Abadi" panose="020B0604020104020204" pitchFamily="34" charset="0"/>
            </a:rPr>
            <a:t>09:00am</a:t>
          </a:r>
          <a:endParaRPr lang="en-NG" sz="1050">
            <a:latin typeface="Abadi" panose="020B0604020104020204" pitchFamily="34" charset="0"/>
          </a:endParaRPr>
        </a:p>
      </xdr:txBody>
    </xdr:sp>
    <xdr:clientData/>
  </xdr:twoCellAnchor>
  <xdr:twoCellAnchor>
    <xdr:from>
      <xdr:col>0</xdr:col>
      <xdr:colOff>0</xdr:colOff>
      <xdr:row>116</xdr:row>
      <xdr:rowOff>6350</xdr:rowOff>
    </xdr:from>
    <xdr:to>
      <xdr:col>1</xdr:col>
      <xdr:colOff>95600</xdr:colOff>
      <xdr:row>116</xdr:row>
      <xdr:rowOff>184150</xdr:rowOff>
    </xdr:to>
    <xdr:sp macro="" textlink="">
      <xdr:nvSpPr>
        <xdr:cNvPr id="244" name="TextBox 243">
          <a:extLst>
            <a:ext uri="{FF2B5EF4-FFF2-40B4-BE49-F238E27FC236}">
              <a16:creationId xmlns:a16="http://schemas.microsoft.com/office/drawing/2014/main" id="{FDE35262-A884-BD47-9770-03C457A076EC}"/>
            </a:ext>
          </a:extLst>
        </xdr:cNvPr>
        <xdr:cNvSpPr txBox="1"/>
      </xdr:nvSpPr>
      <xdr:spPr>
        <a:xfrm>
          <a:off x="0" y="23943310"/>
          <a:ext cx="756000" cy="177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n-GB" sz="1050">
              <a:latin typeface="Abadi" panose="020B0604020104020204" pitchFamily="34" charset="0"/>
            </a:rPr>
            <a:t>09:15 am</a:t>
          </a:r>
          <a:endParaRPr lang="en-NG" sz="1050">
            <a:latin typeface="Abadi" panose="020B0604020104020204" pitchFamily="34" charset="0"/>
          </a:endParaRPr>
        </a:p>
      </xdr:txBody>
    </xdr:sp>
    <xdr:clientData/>
  </xdr:twoCellAnchor>
  <xdr:twoCellAnchor>
    <xdr:from>
      <xdr:col>0</xdr:col>
      <xdr:colOff>0</xdr:colOff>
      <xdr:row>117</xdr:row>
      <xdr:rowOff>6350</xdr:rowOff>
    </xdr:from>
    <xdr:to>
      <xdr:col>1</xdr:col>
      <xdr:colOff>95600</xdr:colOff>
      <xdr:row>117</xdr:row>
      <xdr:rowOff>184150</xdr:rowOff>
    </xdr:to>
    <xdr:sp macro="" textlink="">
      <xdr:nvSpPr>
        <xdr:cNvPr id="245" name="TextBox 244">
          <a:extLst>
            <a:ext uri="{FF2B5EF4-FFF2-40B4-BE49-F238E27FC236}">
              <a16:creationId xmlns:a16="http://schemas.microsoft.com/office/drawing/2014/main" id="{5C2EEAC2-CA6F-894B-B74F-F38833561311}"/>
            </a:ext>
          </a:extLst>
        </xdr:cNvPr>
        <xdr:cNvSpPr txBox="1"/>
      </xdr:nvSpPr>
      <xdr:spPr>
        <a:xfrm>
          <a:off x="0" y="24176990"/>
          <a:ext cx="756000" cy="177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n-GB" sz="1050">
              <a:latin typeface="Abadi" panose="020B0604020104020204" pitchFamily="34" charset="0"/>
            </a:rPr>
            <a:t>09:30 am</a:t>
          </a:r>
          <a:endParaRPr lang="en-NG" sz="1050">
            <a:latin typeface="Abadi" panose="020B0604020104020204" pitchFamily="34" charset="0"/>
          </a:endParaRPr>
        </a:p>
      </xdr:txBody>
    </xdr:sp>
    <xdr:clientData/>
  </xdr:twoCellAnchor>
  <xdr:twoCellAnchor>
    <xdr:from>
      <xdr:col>0</xdr:col>
      <xdr:colOff>0</xdr:colOff>
      <xdr:row>118</xdr:row>
      <xdr:rowOff>6350</xdr:rowOff>
    </xdr:from>
    <xdr:to>
      <xdr:col>1</xdr:col>
      <xdr:colOff>95600</xdr:colOff>
      <xdr:row>118</xdr:row>
      <xdr:rowOff>184150</xdr:rowOff>
    </xdr:to>
    <xdr:sp macro="" textlink="">
      <xdr:nvSpPr>
        <xdr:cNvPr id="246" name="TextBox 245">
          <a:extLst>
            <a:ext uri="{FF2B5EF4-FFF2-40B4-BE49-F238E27FC236}">
              <a16:creationId xmlns:a16="http://schemas.microsoft.com/office/drawing/2014/main" id="{172BB925-B3D8-2D44-B64C-27A4D88FAF15}"/>
            </a:ext>
          </a:extLst>
        </xdr:cNvPr>
        <xdr:cNvSpPr txBox="1"/>
      </xdr:nvSpPr>
      <xdr:spPr>
        <a:xfrm>
          <a:off x="0" y="24410670"/>
          <a:ext cx="756000" cy="177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n-GB" sz="1050">
              <a:latin typeface="Abadi" panose="020B0604020104020204" pitchFamily="34" charset="0"/>
            </a:rPr>
            <a:t>09:45 am</a:t>
          </a:r>
          <a:endParaRPr lang="en-NG" sz="1050">
            <a:latin typeface="Abadi" panose="020B0604020104020204" pitchFamily="34" charset="0"/>
          </a:endParaRPr>
        </a:p>
      </xdr:txBody>
    </xdr:sp>
    <xdr:clientData/>
  </xdr:twoCellAnchor>
  <xdr:twoCellAnchor>
    <xdr:from>
      <xdr:col>0</xdr:col>
      <xdr:colOff>0</xdr:colOff>
      <xdr:row>119</xdr:row>
      <xdr:rowOff>6350</xdr:rowOff>
    </xdr:from>
    <xdr:to>
      <xdr:col>1</xdr:col>
      <xdr:colOff>95600</xdr:colOff>
      <xdr:row>119</xdr:row>
      <xdr:rowOff>184150</xdr:rowOff>
    </xdr:to>
    <xdr:sp macro="" textlink="">
      <xdr:nvSpPr>
        <xdr:cNvPr id="247" name="TextBox 246">
          <a:extLst>
            <a:ext uri="{FF2B5EF4-FFF2-40B4-BE49-F238E27FC236}">
              <a16:creationId xmlns:a16="http://schemas.microsoft.com/office/drawing/2014/main" id="{EE137155-C5F5-194B-BE14-C81BE0ACED78}"/>
            </a:ext>
          </a:extLst>
        </xdr:cNvPr>
        <xdr:cNvSpPr txBox="1"/>
      </xdr:nvSpPr>
      <xdr:spPr>
        <a:xfrm>
          <a:off x="0" y="24644350"/>
          <a:ext cx="756000" cy="177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l"/>
          <a:r>
            <a:rPr lang="en-GB" sz="1050">
              <a:latin typeface="Abadi" panose="020B0604020104020204" pitchFamily="34" charset="0"/>
            </a:rPr>
            <a:t>10:00 am</a:t>
          </a:r>
          <a:endParaRPr lang="en-NG" sz="1050">
            <a:latin typeface="Abadi" panose="020B0604020104020204" pitchFamily="34" charset="0"/>
          </a:endParaRPr>
        </a:p>
      </xdr:txBody>
    </xdr:sp>
    <xdr:clientData/>
  </xdr:twoCellAnchor>
  <xdr:twoCellAnchor>
    <xdr:from>
      <xdr:col>0</xdr:col>
      <xdr:colOff>0</xdr:colOff>
      <xdr:row>120</xdr:row>
      <xdr:rowOff>6350</xdr:rowOff>
    </xdr:from>
    <xdr:to>
      <xdr:col>1</xdr:col>
      <xdr:colOff>95600</xdr:colOff>
      <xdr:row>120</xdr:row>
      <xdr:rowOff>184150</xdr:rowOff>
    </xdr:to>
    <xdr:sp macro="" textlink="">
      <xdr:nvSpPr>
        <xdr:cNvPr id="248" name="TextBox 247">
          <a:extLst>
            <a:ext uri="{FF2B5EF4-FFF2-40B4-BE49-F238E27FC236}">
              <a16:creationId xmlns:a16="http://schemas.microsoft.com/office/drawing/2014/main" id="{08EBED1D-BBEB-4B42-BF07-92A1628F0887}"/>
            </a:ext>
          </a:extLst>
        </xdr:cNvPr>
        <xdr:cNvSpPr txBox="1"/>
      </xdr:nvSpPr>
      <xdr:spPr>
        <a:xfrm>
          <a:off x="0" y="24878030"/>
          <a:ext cx="756000" cy="177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GB" sz="1050">
              <a:latin typeface="Abadi" panose="020B0604020104020204" pitchFamily="34" charset="0"/>
            </a:rPr>
            <a:t>10:15</a:t>
          </a:r>
          <a:r>
            <a:rPr lang="en-GB" sz="1050" baseline="0">
              <a:latin typeface="Abadi" panose="020B0604020104020204" pitchFamily="34" charset="0"/>
            </a:rPr>
            <a:t> am</a:t>
          </a:r>
          <a:endParaRPr lang="en-NG" sz="1050">
            <a:latin typeface="Abadi" panose="020B0604020104020204" pitchFamily="34" charset="0"/>
          </a:endParaRPr>
        </a:p>
      </xdr:txBody>
    </xdr:sp>
    <xdr:clientData/>
  </xdr:twoCellAnchor>
  <xdr:twoCellAnchor>
    <xdr:from>
      <xdr:col>0</xdr:col>
      <xdr:colOff>0</xdr:colOff>
      <xdr:row>116</xdr:row>
      <xdr:rowOff>0</xdr:rowOff>
    </xdr:from>
    <xdr:to>
      <xdr:col>1</xdr:col>
      <xdr:colOff>95600</xdr:colOff>
      <xdr:row>116</xdr:row>
      <xdr:rowOff>177800</xdr:rowOff>
    </xdr:to>
    <xdr:sp macro="" textlink="">
      <xdr:nvSpPr>
        <xdr:cNvPr id="249" name="TextBox 248">
          <a:extLst>
            <a:ext uri="{FF2B5EF4-FFF2-40B4-BE49-F238E27FC236}">
              <a16:creationId xmlns:a16="http://schemas.microsoft.com/office/drawing/2014/main" id="{D850B63F-DEA6-9A46-B17F-1E6085CE00F7}"/>
            </a:ext>
          </a:extLst>
        </xdr:cNvPr>
        <xdr:cNvSpPr txBox="1"/>
      </xdr:nvSpPr>
      <xdr:spPr>
        <a:xfrm>
          <a:off x="0" y="23936960"/>
          <a:ext cx="756000" cy="177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n-GB" sz="1050">
              <a:latin typeface="Abadi" panose="020B0604020104020204" pitchFamily="34" charset="0"/>
            </a:rPr>
            <a:t>09:00am</a:t>
          </a:r>
          <a:endParaRPr lang="en-NG" sz="1050">
            <a:latin typeface="Abadi" panose="020B0604020104020204" pitchFamily="34" charset="0"/>
          </a:endParaRPr>
        </a:p>
      </xdr:txBody>
    </xdr:sp>
    <xdr:clientData/>
  </xdr:twoCellAnchor>
  <xdr:twoCellAnchor>
    <xdr:from>
      <xdr:col>0</xdr:col>
      <xdr:colOff>0</xdr:colOff>
      <xdr:row>116</xdr:row>
      <xdr:rowOff>0</xdr:rowOff>
    </xdr:from>
    <xdr:to>
      <xdr:col>1</xdr:col>
      <xdr:colOff>95600</xdr:colOff>
      <xdr:row>116</xdr:row>
      <xdr:rowOff>177800</xdr:rowOff>
    </xdr:to>
    <xdr:sp macro="" textlink="">
      <xdr:nvSpPr>
        <xdr:cNvPr id="250" name="TextBox 249">
          <a:extLst>
            <a:ext uri="{FF2B5EF4-FFF2-40B4-BE49-F238E27FC236}">
              <a16:creationId xmlns:a16="http://schemas.microsoft.com/office/drawing/2014/main" id="{3B38C5B4-5C21-7544-AA14-DBAAED474536}"/>
            </a:ext>
          </a:extLst>
        </xdr:cNvPr>
        <xdr:cNvSpPr txBox="1"/>
      </xdr:nvSpPr>
      <xdr:spPr>
        <a:xfrm>
          <a:off x="0" y="23936960"/>
          <a:ext cx="756000" cy="177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n-GB" sz="1050">
              <a:latin typeface="Abadi" panose="020B0604020104020204" pitchFamily="34" charset="0"/>
            </a:rPr>
            <a:t>09:00am</a:t>
          </a:r>
          <a:endParaRPr lang="en-NG" sz="1050">
            <a:latin typeface="Abadi" panose="020B0604020104020204" pitchFamily="34" charset="0"/>
          </a:endParaRPr>
        </a:p>
      </xdr:txBody>
    </xdr:sp>
    <xdr:clientData/>
  </xdr:twoCellAnchor>
  <xdr:twoCellAnchor>
    <xdr:from>
      <xdr:col>0</xdr:col>
      <xdr:colOff>0</xdr:colOff>
      <xdr:row>121</xdr:row>
      <xdr:rowOff>0</xdr:rowOff>
    </xdr:from>
    <xdr:to>
      <xdr:col>1</xdr:col>
      <xdr:colOff>95600</xdr:colOff>
      <xdr:row>121</xdr:row>
      <xdr:rowOff>177800</xdr:rowOff>
    </xdr:to>
    <xdr:sp macro="" textlink="">
      <xdr:nvSpPr>
        <xdr:cNvPr id="251" name="TextBox 250">
          <a:extLst>
            <a:ext uri="{FF2B5EF4-FFF2-40B4-BE49-F238E27FC236}">
              <a16:creationId xmlns:a16="http://schemas.microsoft.com/office/drawing/2014/main" id="{E457C16F-D7ED-1B48-813D-FF4C2333A6F2}"/>
            </a:ext>
          </a:extLst>
        </xdr:cNvPr>
        <xdr:cNvSpPr txBox="1"/>
      </xdr:nvSpPr>
      <xdr:spPr>
        <a:xfrm>
          <a:off x="0" y="23703280"/>
          <a:ext cx="756000" cy="177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n-GB" sz="1050">
              <a:latin typeface="Abadi" panose="020B0604020104020204" pitchFamily="34" charset="0"/>
            </a:rPr>
            <a:t>09:00am</a:t>
          </a:r>
          <a:endParaRPr lang="en-NG" sz="1050">
            <a:latin typeface="Abadi" panose="020B0604020104020204" pitchFamily="34" charset="0"/>
          </a:endParaRPr>
        </a:p>
      </xdr:txBody>
    </xdr:sp>
    <xdr:clientData/>
  </xdr:twoCellAnchor>
  <xdr:twoCellAnchor>
    <xdr:from>
      <xdr:col>0</xdr:col>
      <xdr:colOff>0</xdr:colOff>
      <xdr:row>122</xdr:row>
      <xdr:rowOff>6350</xdr:rowOff>
    </xdr:from>
    <xdr:to>
      <xdr:col>1</xdr:col>
      <xdr:colOff>95600</xdr:colOff>
      <xdr:row>122</xdr:row>
      <xdr:rowOff>184150</xdr:rowOff>
    </xdr:to>
    <xdr:sp macro="" textlink="">
      <xdr:nvSpPr>
        <xdr:cNvPr id="252" name="TextBox 251">
          <a:extLst>
            <a:ext uri="{FF2B5EF4-FFF2-40B4-BE49-F238E27FC236}">
              <a16:creationId xmlns:a16="http://schemas.microsoft.com/office/drawing/2014/main" id="{F749F01F-F617-9F47-A564-1A9205F8A5EA}"/>
            </a:ext>
          </a:extLst>
        </xdr:cNvPr>
        <xdr:cNvSpPr txBox="1"/>
      </xdr:nvSpPr>
      <xdr:spPr>
        <a:xfrm>
          <a:off x="0" y="23943310"/>
          <a:ext cx="756000" cy="177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n-GB" sz="1050">
              <a:latin typeface="Abadi" panose="020B0604020104020204" pitchFamily="34" charset="0"/>
            </a:rPr>
            <a:t>09:15 am</a:t>
          </a:r>
          <a:endParaRPr lang="en-NG" sz="1050">
            <a:latin typeface="Abadi" panose="020B0604020104020204" pitchFamily="34" charset="0"/>
          </a:endParaRPr>
        </a:p>
      </xdr:txBody>
    </xdr:sp>
    <xdr:clientData/>
  </xdr:twoCellAnchor>
  <xdr:twoCellAnchor>
    <xdr:from>
      <xdr:col>0</xdr:col>
      <xdr:colOff>0</xdr:colOff>
      <xdr:row>123</xdr:row>
      <xdr:rowOff>6350</xdr:rowOff>
    </xdr:from>
    <xdr:to>
      <xdr:col>1</xdr:col>
      <xdr:colOff>95600</xdr:colOff>
      <xdr:row>123</xdr:row>
      <xdr:rowOff>184150</xdr:rowOff>
    </xdr:to>
    <xdr:sp macro="" textlink="">
      <xdr:nvSpPr>
        <xdr:cNvPr id="253" name="TextBox 252">
          <a:extLst>
            <a:ext uri="{FF2B5EF4-FFF2-40B4-BE49-F238E27FC236}">
              <a16:creationId xmlns:a16="http://schemas.microsoft.com/office/drawing/2014/main" id="{3BE05691-2BD8-F745-910D-46A10501178C}"/>
            </a:ext>
          </a:extLst>
        </xdr:cNvPr>
        <xdr:cNvSpPr txBox="1"/>
      </xdr:nvSpPr>
      <xdr:spPr>
        <a:xfrm>
          <a:off x="0" y="24176990"/>
          <a:ext cx="756000" cy="177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n-GB" sz="1050">
              <a:latin typeface="Abadi" panose="020B0604020104020204" pitchFamily="34" charset="0"/>
            </a:rPr>
            <a:t>09:30 am</a:t>
          </a:r>
          <a:endParaRPr lang="en-NG" sz="1050">
            <a:latin typeface="Abadi" panose="020B0604020104020204" pitchFamily="34" charset="0"/>
          </a:endParaRPr>
        </a:p>
      </xdr:txBody>
    </xdr:sp>
    <xdr:clientData/>
  </xdr:twoCellAnchor>
  <xdr:twoCellAnchor>
    <xdr:from>
      <xdr:col>0</xdr:col>
      <xdr:colOff>0</xdr:colOff>
      <xdr:row>124</xdr:row>
      <xdr:rowOff>6350</xdr:rowOff>
    </xdr:from>
    <xdr:to>
      <xdr:col>1</xdr:col>
      <xdr:colOff>95600</xdr:colOff>
      <xdr:row>124</xdr:row>
      <xdr:rowOff>184150</xdr:rowOff>
    </xdr:to>
    <xdr:sp macro="" textlink="">
      <xdr:nvSpPr>
        <xdr:cNvPr id="254" name="TextBox 253">
          <a:extLst>
            <a:ext uri="{FF2B5EF4-FFF2-40B4-BE49-F238E27FC236}">
              <a16:creationId xmlns:a16="http://schemas.microsoft.com/office/drawing/2014/main" id="{84F4855B-5158-D842-B470-33972E562FDD}"/>
            </a:ext>
          </a:extLst>
        </xdr:cNvPr>
        <xdr:cNvSpPr txBox="1"/>
      </xdr:nvSpPr>
      <xdr:spPr>
        <a:xfrm>
          <a:off x="0" y="24410670"/>
          <a:ext cx="756000" cy="177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n-GB" sz="1050">
              <a:latin typeface="Abadi" panose="020B0604020104020204" pitchFamily="34" charset="0"/>
            </a:rPr>
            <a:t>09:45 am</a:t>
          </a:r>
          <a:endParaRPr lang="en-NG" sz="1050">
            <a:latin typeface="Abadi" panose="020B0604020104020204" pitchFamily="34" charset="0"/>
          </a:endParaRPr>
        </a:p>
      </xdr:txBody>
    </xdr:sp>
    <xdr:clientData/>
  </xdr:twoCellAnchor>
  <xdr:twoCellAnchor>
    <xdr:from>
      <xdr:col>0</xdr:col>
      <xdr:colOff>0</xdr:colOff>
      <xdr:row>125</xdr:row>
      <xdr:rowOff>6350</xdr:rowOff>
    </xdr:from>
    <xdr:to>
      <xdr:col>1</xdr:col>
      <xdr:colOff>95600</xdr:colOff>
      <xdr:row>125</xdr:row>
      <xdr:rowOff>184150</xdr:rowOff>
    </xdr:to>
    <xdr:sp macro="" textlink="">
      <xdr:nvSpPr>
        <xdr:cNvPr id="255" name="TextBox 254">
          <a:extLst>
            <a:ext uri="{FF2B5EF4-FFF2-40B4-BE49-F238E27FC236}">
              <a16:creationId xmlns:a16="http://schemas.microsoft.com/office/drawing/2014/main" id="{E2AC3FA6-8D38-5B41-B5D6-76EEBB4FD9E8}"/>
            </a:ext>
          </a:extLst>
        </xdr:cNvPr>
        <xdr:cNvSpPr txBox="1"/>
      </xdr:nvSpPr>
      <xdr:spPr>
        <a:xfrm>
          <a:off x="0" y="24644350"/>
          <a:ext cx="756000" cy="177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l"/>
          <a:r>
            <a:rPr lang="en-GB" sz="1050">
              <a:latin typeface="Abadi" panose="020B0604020104020204" pitchFamily="34" charset="0"/>
            </a:rPr>
            <a:t>10:00 am</a:t>
          </a:r>
          <a:endParaRPr lang="en-NG" sz="1050">
            <a:latin typeface="Abadi" panose="020B0604020104020204" pitchFamily="34" charset="0"/>
          </a:endParaRPr>
        </a:p>
      </xdr:txBody>
    </xdr:sp>
    <xdr:clientData/>
  </xdr:twoCellAnchor>
  <xdr:twoCellAnchor>
    <xdr:from>
      <xdr:col>0</xdr:col>
      <xdr:colOff>0</xdr:colOff>
      <xdr:row>126</xdr:row>
      <xdr:rowOff>6350</xdr:rowOff>
    </xdr:from>
    <xdr:to>
      <xdr:col>1</xdr:col>
      <xdr:colOff>95600</xdr:colOff>
      <xdr:row>126</xdr:row>
      <xdr:rowOff>184150</xdr:rowOff>
    </xdr:to>
    <xdr:sp macro="" textlink="">
      <xdr:nvSpPr>
        <xdr:cNvPr id="256" name="TextBox 255">
          <a:extLst>
            <a:ext uri="{FF2B5EF4-FFF2-40B4-BE49-F238E27FC236}">
              <a16:creationId xmlns:a16="http://schemas.microsoft.com/office/drawing/2014/main" id="{5364CF34-76FD-E841-816D-A8AA3A406652}"/>
            </a:ext>
          </a:extLst>
        </xdr:cNvPr>
        <xdr:cNvSpPr txBox="1"/>
      </xdr:nvSpPr>
      <xdr:spPr>
        <a:xfrm>
          <a:off x="0" y="24878030"/>
          <a:ext cx="756000" cy="177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GB" sz="1050">
              <a:latin typeface="Abadi" panose="020B0604020104020204" pitchFamily="34" charset="0"/>
            </a:rPr>
            <a:t>10:15</a:t>
          </a:r>
          <a:r>
            <a:rPr lang="en-GB" sz="1050" baseline="0">
              <a:latin typeface="Abadi" panose="020B0604020104020204" pitchFamily="34" charset="0"/>
            </a:rPr>
            <a:t> am</a:t>
          </a:r>
          <a:endParaRPr lang="en-NG" sz="1050">
            <a:latin typeface="Abadi" panose="020B0604020104020204" pitchFamily="34" charset="0"/>
          </a:endParaRPr>
        </a:p>
      </xdr:txBody>
    </xdr:sp>
    <xdr:clientData/>
  </xdr:twoCellAnchor>
  <xdr:twoCellAnchor>
    <xdr:from>
      <xdr:col>0</xdr:col>
      <xdr:colOff>0</xdr:colOff>
      <xdr:row>122</xdr:row>
      <xdr:rowOff>0</xdr:rowOff>
    </xdr:from>
    <xdr:to>
      <xdr:col>1</xdr:col>
      <xdr:colOff>95600</xdr:colOff>
      <xdr:row>122</xdr:row>
      <xdr:rowOff>177800</xdr:rowOff>
    </xdr:to>
    <xdr:sp macro="" textlink="">
      <xdr:nvSpPr>
        <xdr:cNvPr id="257" name="TextBox 256">
          <a:extLst>
            <a:ext uri="{FF2B5EF4-FFF2-40B4-BE49-F238E27FC236}">
              <a16:creationId xmlns:a16="http://schemas.microsoft.com/office/drawing/2014/main" id="{AEFC6884-1403-D042-AA00-B77DE561BE7F}"/>
            </a:ext>
          </a:extLst>
        </xdr:cNvPr>
        <xdr:cNvSpPr txBox="1"/>
      </xdr:nvSpPr>
      <xdr:spPr>
        <a:xfrm>
          <a:off x="0" y="23936960"/>
          <a:ext cx="756000" cy="177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n-GB" sz="1050">
              <a:latin typeface="Abadi" panose="020B0604020104020204" pitchFamily="34" charset="0"/>
            </a:rPr>
            <a:t>09:00am</a:t>
          </a:r>
          <a:endParaRPr lang="en-NG" sz="1050">
            <a:latin typeface="Abadi" panose="020B0604020104020204" pitchFamily="34" charset="0"/>
          </a:endParaRPr>
        </a:p>
      </xdr:txBody>
    </xdr:sp>
    <xdr:clientData/>
  </xdr:twoCellAnchor>
  <xdr:twoCellAnchor>
    <xdr:from>
      <xdr:col>0</xdr:col>
      <xdr:colOff>0</xdr:colOff>
      <xdr:row>122</xdr:row>
      <xdr:rowOff>0</xdr:rowOff>
    </xdr:from>
    <xdr:to>
      <xdr:col>1</xdr:col>
      <xdr:colOff>95600</xdr:colOff>
      <xdr:row>122</xdr:row>
      <xdr:rowOff>177800</xdr:rowOff>
    </xdr:to>
    <xdr:sp macro="" textlink="">
      <xdr:nvSpPr>
        <xdr:cNvPr id="258" name="TextBox 257">
          <a:extLst>
            <a:ext uri="{FF2B5EF4-FFF2-40B4-BE49-F238E27FC236}">
              <a16:creationId xmlns:a16="http://schemas.microsoft.com/office/drawing/2014/main" id="{DA7B872F-DB0C-634A-8180-5EEF008D795F}"/>
            </a:ext>
          </a:extLst>
        </xdr:cNvPr>
        <xdr:cNvSpPr txBox="1"/>
      </xdr:nvSpPr>
      <xdr:spPr>
        <a:xfrm>
          <a:off x="0" y="23936960"/>
          <a:ext cx="756000" cy="177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n-GB" sz="1050">
              <a:latin typeface="Abadi" panose="020B0604020104020204" pitchFamily="34" charset="0"/>
            </a:rPr>
            <a:t>09:00am</a:t>
          </a:r>
          <a:endParaRPr lang="en-NG" sz="1050">
            <a:latin typeface="Abadi" panose="020B0604020104020204" pitchFamily="34" charset="0"/>
          </a:endParaRPr>
        </a:p>
      </xdr:txBody>
    </xdr:sp>
    <xdr:clientData/>
  </xdr:twoCellAnchor>
  <xdr:twoCellAnchor>
    <xdr:from>
      <xdr:col>0</xdr:col>
      <xdr:colOff>0</xdr:colOff>
      <xdr:row>127</xdr:row>
      <xdr:rowOff>0</xdr:rowOff>
    </xdr:from>
    <xdr:to>
      <xdr:col>1</xdr:col>
      <xdr:colOff>95600</xdr:colOff>
      <xdr:row>127</xdr:row>
      <xdr:rowOff>177800</xdr:rowOff>
    </xdr:to>
    <xdr:sp macro="" textlink="">
      <xdr:nvSpPr>
        <xdr:cNvPr id="259" name="TextBox 258">
          <a:extLst>
            <a:ext uri="{FF2B5EF4-FFF2-40B4-BE49-F238E27FC236}">
              <a16:creationId xmlns:a16="http://schemas.microsoft.com/office/drawing/2014/main" id="{1DE97E44-CBDE-F346-8C0C-7960E4E10BE9}"/>
            </a:ext>
          </a:extLst>
        </xdr:cNvPr>
        <xdr:cNvSpPr txBox="1"/>
      </xdr:nvSpPr>
      <xdr:spPr>
        <a:xfrm>
          <a:off x="0" y="23703280"/>
          <a:ext cx="756000" cy="177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n-GB" sz="1050">
              <a:latin typeface="Abadi" panose="020B0604020104020204" pitchFamily="34" charset="0"/>
            </a:rPr>
            <a:t>09:00am</a:t>
          </a:r>
          <a:endParaRPr lang="en-NG" sz="1050">
            <a:latin typeface="Abadi" panose="020B0604020104020204" pitchFamily="34" charset="0"/>
          </a:endParaRPr>
        </a:p>
      </xdr:txBody>
    </xdr:sp>
    <xdr:clientData/>
  </xdr:twoCellAnchor>
  <xdr:twoCellAnchor>
    <xdr:from>
      <xdr:col>0</xdr:col>
      <xdr:colOff>0</xdr:colOff>
      <xdr:row>128</xdr:row>
      <xdr:rowOff>6350</xdr:rowOff>
    </xdr:from>
    <xdr:to>
      <xdr:col>1</xdr:col>
      <xdr:colOff>95600</xdr:colOff>
      <xdr:row>128</xdr:row>
      <xdr:rowOff>184150</xdr:rowOff>
    </xdr:to>
    <xdr:sp macro="" textlink="">
      <xdr:nvSpPr>
        <xdr:cNvPr id="260" name="TextBox 259">
          <a:extLst>
            <a:ext uri="{FF2B5EF4-FFF2-40B4-BE49-F238E27FC236}">
              <a16:creationId xmlns:a16="http://schemas.microsoft.com/office/drawing/2014/main" id="{B4457C1F-5110-E041-93E0-BD9206E76D56}"/>
            </a:ext>
          </a:extLst>
        </xdr:cNvPr>
        <xdr:cNvSpPr txBox="1"/>
      </xdr:nvSpPr>
      <xdr:spPr>
        <a:xfrm>
          <a:off x="0" y="23943310"/>
          <a:ext cx="756000" cy="177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n-GB" sz="1050">
              <a:latin typeface="Abadi" panose="020B0604020104020204" pitchFamily="34" charset="0"/>
            </a:rPr>
            <a:t>09:15 am</a:t>
          </a:r>
          <a:endParaRPr lang="en-NG" sz="1050">
            <a:latin typeface="Abadi" panose="020B0604020104020204" pitchFamily="34" charset="0"/>
          </a:endParaRPr>
        </a:p>
      </xdr:txBody>
    </xdr:sp>
    <xdr:clientData/>
  </xdr:twoCellAnchor>
  <xdr:twoCellAnchor>
    <xdr:from>
      <xdr:col>0</xdr:col>
      <xdr:colOff>0</xdr:colOff>
      <xdr:row>129</xdr:row>
      <xdr:rowOff>6350</xdr:rowOff>
    </xdr:from>
    <xdr:to>
      <xdr:col>1</xdr:col>
      <xdr:colOff>95600</xdr:colOff>
      <xdr:row>129</xdr:row>
      <xdr:rowOff>184150</xdr:rowOff>
    </xdr:to>
    <xdr:sp macro="" textlink="">
      <xdr:nvSpPr>
        <xdr:cNvPr id="261" name="TextBox 260">
          <a:extLst>
            <a:ext uri="{FF2B5EF4-FFF2-40B4-BE49-F238E27FC236}">
              <a16:creationId xmlns:a16="http://schemas.microsoft.com/office/drawing/2014/main" id="{BBA0F7AB-8EA1-D144-B4B8-8A21D2C7D46D}"/>
            </a:ext>
          </a:extLst>
        </xdr:cNvPr>
        <xdr:cNvSpPr txBox="1"/>
      </xdr:nvSpPr>
      <xdr:spPr>
        <a:xfrm>
          <a:off x="0" y="24176990"/>
          <a:ext cx="756000" cy="177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n-GB" sz="1050">
              <a:latin typeface="Abadi" panose="020B0604020104020204" pitchFamily="34" charset="0"/>
            </a:rPr>
            <a:t>09:30 am</a:t>
          </a:r>
          <a:endParaRPr lang="en-NG" sz="1050">
            <a:latin typeface="Abadi" panose="020B0604020104020204" pitchFamily="34" charset="0"/>
          </a:endParaRPr>
        </a:p>
      </xdr:txBody>
    </xdr:sp>
    <xdr:clientData/>
  </xdr:twoCellAnchor>
  <xdr:twoCellAnchor>
    <xdr:from>
      <xdr:col>0</xdr:col>
      <xdr:colOff>0</xdr:colOff>
      <xdr:row>130</xdr:row>
      <xdr:rowOff>6350</xdr:rowOff>
    </xdr:from>
    <xdr:to>
      <xdr:col>1</xdr:col>
      <xdr:colOff>95600</xdr:colOff>
      <xdr:row>130</xdr:row>
      <xdr:rowOff>184150</xdr:rowOff>
    </xdr:to>
    <xdr:sp macro="" textlink="">
      <xdr:nvSpPr>
        <xdr:cNvPr id="262" name="TextBox 261">
          <a:extLst>
            <a:ext uri="{FF2B5EF4-FFF2-40B4-BE49-F238E27FC236}">
              <a16:creationId xmlns:a16="http://schemas.microsoft.com/office/drawing/2014/main" id="{A4ADCCAA-C233-A948-8D89-EA2965E7583F}"/>
            </a:ext>
          </a:extLst>
        </xdr:cNvPr>
        <xdr:cNvSpPr txBox="1"/>
      </xdr:nvSpPr>
      <xdr:spPr>
        <a:xfrm>
          <a:off x="0" y="24410670"/>
          <a:ext cx="756000" cy="177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n-GB" sz="1050">
              <a:latin typeface="Abadi" panose="020B0604020104020204" pitchFamily="34" charset="0"/>
            </a:rPr>
            <a:t>09:45 am</a:t>
          </a:r>
          <a:endParaRPr lang="en-NG" sz="1050">
            <a:latin typeface="Abadi" panose="020B0604020104020204" pitchFamily="34" charset="0"/>
          </a:endParaRPr>
        </a:p>
      </xdr:txBody>
    </xdr:sp>
    <xdr:clientData/>
  </xdr:twoCellAnchor>
  <xdr:twoCellAnchor>
    <xdr:from>
      <xdr:col>0</xdr:col>
      <xdr:colOff>0</xdr:colOff>
      <xdr:row>131</xdr:row>
      <xdr:rowOff>6350</xdr:rowOff>
    </xdr:from>
    <xdr:to>
      <xdr:col>1</xdr:col>
      <xdr:colOff>95600</xdr:colOff>
      <xdr:row>131</xdr:row>
      <xdr:rowOff>184150</xdr:rowOff>
    </xdr:to>
    <xdr:sp macro="" textlink="">
      <xdr:nvSpPr>
        <xdr:cNvPr id="263" name="TextBox 262">
          <a:extLst>
            <a:ext uri="{FF2B5EF4-FFF2-40B4-BE49-F238E27FC236}">
              <a16:creationId xmlns:a16="http://schemas.microsoft.com/office/drawing/2014/main" id="{A90FE570-9ECA-F547-B512-453B2671175D}"/>
            </a:ext>
          </a:extLst>
        </xdr:cNvPr>
        <xdr:cNvSpPr txBox="1"/>
      </xdr:nvSpPr>
      <xdr:spPr>
        <a:xfrm>
          <a:off x="0" y="24644350"/>
          <a:ext cx="756000" cy="177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l"/>
          <a:r>
            <a:rPr lang="en-GB" sz="1050">
              <a:latin typeface="Abadi" panose="020B0604020104020204" pitchFamily="34" charset="0"/>
            </a:rPr>
            <a:t>10:00 am</a:t>
          </a:r>
          <a:endParaRPr lang="en-NG" sz="1050">
            <a:latin typeface="Abadi" panose="020B0604020104020204" pitchFamily="34" charset="0"/>
          </a:endParaRPr>
        </a:p>
      </xdr:txBody>
    </xdr:sp>
    <xdr:clientData/>
  </xdr:twoCellAnchor>
  <xdr:twoCellAnchor>
    <xdr:from>
      <xdr:col>0</xdr:col>
      <xdr:colOff>0</xdr:colOff>
      <xdr:row>132</xdr:row>
      <xdr:rowOff>6350</xdr:rowOff>
    </xdr:from>
    <xdr:to>
      <xdr:col>1</xdr:col>
      <xdr:colOff>95600</xdr:colOff>
      <xdr:row>132</xdr:row>
      <xdr:rowOff>184150</xdr:rowOff>
    </xdr:to>
    <xdr:sp macro="" textlink="">
      <xdr:nvSpPr>
        <xdr:cNvPr id="264" name="TextBox 263">
          <a:extLst>
            <a:ext uri="{FF2B5EF4-FFF2-40B4-BE49-F238E27FC236}">
              <a16:creationId xmlns:a16="http://schemas.microsoft.com/office/drawing/2014/main" id="{6094F50A-47F5-5845-92A5-CE55FAA010ED}"/>
            </a:ext>
          </a:extLst>
        </xdr:cNvPr>
        <xdr:cNvSpPr txBox="1"/>
      </xdr:nvSpPr>
      <xdr:spPr>
        <a:xfrm>
          <a:off x="0" y="24878030"/>
          <a:ext cx="756000" cy="177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GB" sz="1050">
              <a:latin typeface="Abadi" panose="020B0604020104020204" pitchFamily="34" charset="0"/>
            </a:rPr>
            <a:t>1015</a:t>
          </a:r>
          <a:r>
            <a:rPr lang="en-GB" sz="1050" baseline="0">
              <a:latin typeface="Abadi" panose="020B0604020104020204" pitchFamily="34" charset="0"/>
            </a:rPr>
            <a:t> am</a:t>
          </a:r>
          <a:endParaRPr lang="en-NG" sz="1050">
            <a:latin typeface="Abadi" panose="020B0604020104020204" pitchFamily="34" charset="0"/>
          </a:endParaRPr>
        </a:p>
      </xdr:txBody>
    </xdr:sp>
    <xdr:clientData/>
  </xdr:twoCellAnchor>
  <xdr:twoCellAnchor>
    <xdr:from>
      <xdr:col>0</xdr:col>
      <xdr:colOff>0</xdr:colOff>
      <xdr:row>128</xdr:row>
      <xdr:rowOff>0</xdr:rowOff>
    </xdr:from>
    <xdr:to>
      <xdr:col>1</xdr:col>
      <xdr:colOff>95600</xdr:colOff>
      <xdr:row>128</xdr:row>
      <xdr:rowOff>177800</xdr:rowOff>
    </xdr:to>
    <xdr:sp macro="" textlink="">
      <xdr:nvSpPr>
        <xdr:cNvPr id="265" name="TextBox 264">
          <a:extLst>
            <a:ext uri="{FF2B5EF4-FFF2-40B4-BE49-F238E27FC236}">
              <a16:creationId xmlns:a16="http://schemas.microsoft.com/office/drawing/2014/main" id="{10EECB52-DA0F-EF42-B4AA-90C976CDF58B}"/>
            </a:ext>
          </a:extLst>
        </xdr:cNvPr>
        <xdr:cNvSpPr txBox="1"/>
      </xdr:nvSpPr>
      <xdr:spPr>
        <a:xfrm>
          <a:off x="0" y="23936960"/>
          <a:ext cx="756000" cy="177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n-GB" sz="1050">
              <a:latin typeface="Abadi" panose="020B0604020104020204" pitchFamily="34" charset="0"/>
            </a:rPr>
            <a:t>09:00am</a:t>
          </a:r>
          <a:endParaRPr lang="en-NG" sz="1050">
            <a:latin typeface="Abadi" panose="020B0604020104020204" pitchFamily="34" charset="0"/>
          </a:endParaRPr>
        </a:p>
      </xdr:txBody>
    </xdr:sp>
    <xdr:clientData/>
  </xdr:twoCellAnchor>
  <xdr:twoCellAnchor>
    <xdr:from>
      <xdr:col>0</xdr:col>
      <xdr:colOff>0</xdr:colOff>
      <xdr:row>128</xdr:row>
      <xdr:rowOff>0</xdr:rowOff>
    </xdr:from>
    <xdr:to>
      <xdr:col>1</xdr:col>
      <xdr:colOff>95600</xdr:colOff>
      <xdr:row>128</xdr:row>
      <xdr:rowOff>177800</xdr:rowOff>
    </xdr:to>
    <xdr:sp macro="" textlink="">
      <xdr:nvSpPr>
        <xdr:cNvPr id="266" name="TextBox 265">
          <a:extLst>
            <a:ext uri="{FF2B5EF4-FFF2-40B4-BE49-F238E27FC236}">
              <a16:creationId xmlns:a16="http://schemas.microsoft.com/office/drawing/2014/main" id="{9337CADD-90D4-774B-A1C2-5742403B2D8A}"/>
            </a:ext>
          </a:extLst>
        </xdr:cNvPr>
        <xdr:cNvSpPr txBox="1"/>
      </xdr:nvSpPr>
      <xdr:spPr>
        <a:xfrm>
          <a:off x="0" y="23936960"/>
          <a:ext cx="756000" cy="177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n-GB" sz="1050">
              <a:latin typeface="Abadi" panose="020B0604020104020204" pitchFamily="34" charset="0"/>
            </a:rPr>
            <a:t>09:00am</a:t>
          </a:r>
          <a:endParaRPr lang="en-NG" sz="1050">
            <a:latin typeface="Abadi" panose="020B0604020104020204" pitchFamily="34" charset="0"/>
          </a:endParaRPr>
        </a:p>
      </xdr:txBody>
    </xdr:sp>
    <xdr:clientData/>
  </xdr:twoCellAnchor>
  <xdr:twoCellAnchor>
    <xdr:from>
      <xdr:col>0</xdr:col>
      <xdr:colOff>0</xdr:colOff>
      <xdr:row>110</xdr:row>
      <xdr:rowOff>0</xdr:rowOff>
    </xdr:from>
    <xdr:to>
      <xdr:col>1</xdr:col>
      <xdr:colOff>95600</xdr:colOff>
      <xdr:row>110</xdr:row>
      <xdr:rowOff>177800</xdr:rowOff>
    </xdr:to>
    <xdr:sp macro="" textlink="">
      <xdr:nvSpPr>
        <xdr:cNvPr id="267" name="TextBox 266">
          <a:extLst>
            <a:ext uri="{FF2B5EF4-FFF2-40B4-BE49-F238E27FC236}">
              <a16:creationId xmlns:a16="http://schemas.microsoft.com/office/drawing/2014/main" id="{685E776A-6183-C347-8214-7E417E5A9C40}"/>
            </a:ext>
          </a:extLst>
        </xdr:cNvPr>
        <xdr:cNvSpPr txBox="1"/>
      </xdr:nvSpPr>
      <xdr:spPr>
        <a:xfrm>
          <a:off x="0" y="23703280"/>
          <a:ext cx="756000" cy="177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n-GB" sz="1050">
              <a:latin typeface="Abadi" panose="020B0604020104020204" pitchFamily="34" charset="0"/>
            </a:rPr>
            <a:t>09:00am</a:t>
          </a:r>
          <a:endParaRPr lang="en-NG" sz="1050">
            <a:latin typeface="Abadi" panose="020B0604020104020204" pitchFamily="34" charset="0"/>
          </a:endParaRPr>
        </a:p>
      </xdr:txBody>
    </xdr:sp>
    <xdr:clientData/>
  </xdr:twoCellAnchor>
  <xdr:twoCellAnchor>
    <xdr:from>
      <xdr:col>0</xdr:col>
      <xdr:colOff>0</xdr:colOff>
      <xdr:row>111</xdr:row>
      <xdr:rowOff>6350</xdr:rowOff>
    </xdr:from>
    <xdr:to>
      <xdr:col>1</xdr:col>
      <xdr:colOff>95600</xdr:colOff>
      <xdr:row>111</xdr:row>
      <xdr:rowOff>184150</xdr:rowOff>
    </xdr:to>
    <xdr:sp macro="" textlink="">
      <xdr:nvSpPr>
        <xdr:cNvPr id="268" name="TextBox 267">
          <a:extLst>
            <a:ext uri="{FF2B5EF4-FFF2-40B4-BE49-F238E27FC236}">
              <a16:creationId xmlns:a16="http://schemas.microsoft.com/office/drawing/2014/main" id="{0FC9872F-5C35-7645-BA34-8338E39C2C1A}"/>
            </a:ext>
          </a:extLst>
        </xdr:cNvPr>
        <xdr:cNvSpPr txBox="1"/>
      </xdr:nvSpPr>
      <xdr:spPr>
        <a:xfrm>
          <a:off x="0" y="23943310"/>
          <a:ext cx="756000" cy="177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n-GB" sz="1050">
              <a:latin typeface="Abadi" panose="020B0604020104020204" pitchFamily="34" charset="0"/>
            </a:rPr>
            <a:t>09:15 am</a:t>
          </a:r>
          <a:endParaRPr lang="en-NG" sz="1050">
            <a:latin typeface="Abadi" panose="020B0604020104020204" pitchFamily="34" charset="0"/>
          </a:endParaRPr>
        </a:p>
      </xdr:txBody>
    </xdr:sp>
    <xdr:clientData/>
  </xdr:twoCellAnchor>
  <xdr:twoCellAnchor>
    <xdr:from>
      <xdr:col>0</xdr:col>
      <xdr:colOff>0</xdr:colOff>
      <xdr:row>112</xdr:row>
      <xdr:rowOff>6350</xdr:rowOff>
    </xdr:from>
    <xdr:to>
      <xdr:col>1</xdr:col>
      <xdr:colOff>95600</xdr:colOff>
      <xdr:row>112</xdr:row>
      <xdr:rowOff>184150</xdr:rowOff>
    </xdr:to>
    <xdr:sp macro="" textlink="">
      <xdr:nvSpPr>
        <xdr:cNvPr id="269" name="TextBox 268">
          <a:extLst>
            <a:ext uri="{FF2B5EF4-FFF2-40B4-BE49-F238E27FC236}">
              <a16:creationId xmlns:a16="http://schemas.microsoft.com/office/drawing/2014/main" id="{C1983DFA-5820-1E49-88D2-B3C29DF5193C}"/>
            </a:ext>
          </a:extLst>
        </xdr:cNvPr>
        <xdr:cNvSpPr txBox="1"/>
      </xdr:nvSpPr>
      <xdr:spPr>
        <a:xfrm>
          <a:off x="0" y="24176990"/>
          <a:ext cx="756000" cy="177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n-GB" sz="1050">
              <a:latin typeface="Abadi" panose="020B0604020104020204" pitchFamily="34" charset="0"/>
            </a:rPr>
            <a:t>09:30 am</a:t>
          </a:r>
          <a:endParaRPr lang="en-NG" sz="1050">
            <a:latin typeface="Abadi" panose="020B0604020104020204" pitchFamily="34" charset="0"/>
          </a:endParaRPr>
        </a:p>
      </xdr:txBody>
    </xdr:sp>
    <xdr:clientData/>
  </xdr:twoCellAnchor>
  <xdr:twoCellAnchor>
    <xdr:from>
      <xdr:col>0</xdr:col>
      <xdr:colOff>0</xdr:colOff>
      <xdr:row>113</xdr:row>
      <xdr:rowOff>6350</xdr:rowOff>
    </xdr:from>
    <xdr:to>
      <xdr:col>1</xdr:col>
      <xdr:colOff>95600</xdr:colOff>
      <xdr:row>113</xdr:row>
      <xdr:rowOff>184150</xdr:rowOff>
    </xdr:to>
    <xdr:sp macro="" textlink="">
      <xdr:nvSpPr>
        <xdr:cNvPr id="270" name="TextBox 269">
          <a:extLst>
            <a:ext uri="{FF2B5EF4-FFF2-40B4-BE49-F238E27FC236}">
              <a16:creationId xmlns:a16="http://schemas.microsoft.com/office/drawing/2014/main" id="{0160454E-D58F-444F-8B90-82604F08779F}"/>
            </a:ext>
          </a:extLst>
        </xdr:cNvPr>
        <xdr:cNvSpPr txBox="1"/>
      </xdr:nvSpPr>
      <xdr:spPr>
        <a:xfrm>
          <a:off x="0" y="24410670"/>
          <a:ext cx="756000" cy="177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n-GB" sz="1050">
              <a:latin typeface="Abadi" panose="020B0604020104020204" pitchFamily="34" charset="0"/>
            </a:rPr>
            <a:t>09:45 am</a:t>
          </a:r>
          <a:endParaRPr lang="en-NG" sz="1050">
            <a:latin typeface="Abadi" panose="020B0604020104020204" pitchFamily="34" charset="0"/>
          </a:endParaRPr>
        </a:p>
      </xdr:txBody>
    </xdr:sp>
    <xdr:clientData/>
  </xdr:twoCellAnchor>
  <xdr:twoCellAnchor>
    <xdr:from>
      <xdr:col>0</xdr:col>
      <xdr:colOff>0</xdr:colOff>
      <xdr:row>114</xdr:row>
      <xdr:rowOff>6350</xdr:rowOff>
    </xdr:from>
    <xdr:to>
      <xdr:col>1</xdr:col>
      <xdr:colOff>95600</xdr:colOff>
      <xdr:row>114</xdr:row>
      <xdr:rowOff>184150</xdr:rowOff>
    </xdr:to>
    <xdr:sp macro="" textlink="">
      <xdr:nvSpPr>
        <xdr:cNvPr id="271" name="TextBox 270">
          <a:extLst>
            <a:ext uri="{FF2B5EF4-FFF2-40B4-BE49-F238E27FC236}">
              <a16:creationId xmlns:a16="http://schemas.microsoft.com/office/drawing/2014/main" id="{521300FC-4EDA-8342-BDBD-2ACFED2DE59A}"/>
            </a:ext>
          </a:extLst>
        </xdr:cNvPr>
        <xdr:cNvSpPr txBox="1"/>
      </xdr:nvSpPr>
      <xdr:spPr>
        <a:xfrm>
          <a:off x="0" y="24644350"/>
          <a:ext cx="756000" cy="177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l"/>
          <a:r>
            <a:rPr lang="en-GB" sz="1050">
              <a:latin typeface="Abadi" panose="020B0604020104020204" pitchFamily="34" charset="0"/>
            </a:rPr>
            <a:t>10:00 am</a:t>
          </a:r>
          <a:endParaRPr lang="en-NG" sz="1050">
            <a:latin typeface="Abadi" panose="020B0604020104020204" pitchFamily="34" charset="0"/>
          </a:endParaRPr>
        </a:p>
      </xdr:txBody>
    </xdr:sp>
    <xdr:clientData/>
  </xdr:twoCellAnchor>
  <xdr:twoCellAnchor>
    <xdr:from>
      <xdr:col>0</xdr:col>
      <xdr:colOff>0</xdr:colOff>
      <xdr:row>115</xdr:row>
      <xdr:rowOff>6350</xdr:rowOff>
    </xdr:from>
    <xdr:to>
      <xdr:col>1</xdr:col>
      <xdr:colOff>95600</xdr:colOff>
      <xdr:row>115</xdr:row>
      <xdr:rowOff>184150</xdr:rowOff>
    </xdr:to>
    <xdr:sp macro="" textlink="">
      <xdr:nvSpPr>
        <xdr:cNvPr id="272" name="TextBox 271">
          <a:extLst>
            <a:ext uri="{FF2B5EF4-FFF2-40B4-BE49-F238E27FC236}">
              <a16:creationId xmlns:a16="http://schemas.microsoft.com/office/drawing/2014/main" id="{40D854A1-CE85-F44C-9315-E2FBAE849D8F}"/>
            </a:ext>
          </a:extLst>
        </xdr:cNvPr>
        <xdr:cNvSpPr txBox="1"/>
      </xdr:nvSpPr>
      <xdr:spPr>
        <a:xfrm>
          <a:off x="0" y="24878030"/>
          <a:ext cx="756000" cy="177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GB" sz="1050">
              <a:latin typeface="Abadi" panose="020B0604020104020204" pitchFamily="34" charset="0"/>
            </a:rPr>
            <a:t>10:15</a:t>
          </a:r>
          <a:r>
            <a:rPr lang="en-GB" sz="1050" baseline="0">
              <a:latin typeface="Abadi" panose="020B0604020104020204" pitchFamily="34" charset="0"/>
            </a:rPr>
            <a:t> am</a:t>
          </a:r>
          <a:endParaRPr lang="en-NG" sz="1050">
            <a:latin typeface="Abadi" panose="020B0604020104020204" pitchFamily="34" charset="0"/>
          </a:endParaRPr>
        </a:p>
      </xdr:txBody>
    </xdr:sp>
    <xdr:clientData/>
  </xdr:twoCellAnchor>
  <xdr:twoCellAnchor>
    <xdr:from>
      <xdr:col>0</xdr:col>
      <xdr:colOff>0</xdr:colOff>
      <xdr:row>116</xdr:row>
      <xdr:rowOff>6350</xdr:rowOff>
    </xdr:from>
    <xdr:to>
      <xdr:col>1</xdr:col>
      <xdr:colOff>95600</xdr:colOff>
      <xdr:row>116</xdr:row>
      <xdr:rowOff>184150</xdr:rowOff>
    </xdr:to>
    <xdr:sp macro="" textlink="">
      <xdr:nvSpPr>
        <xdr:cNvPr id="273" name="TextBox 272">
          <a:extLst>
            <a:ext uri="{FF2B5EF4-FFF2-40B4-BE49-F238E27FC236}">
              <a16:creationId xmlns:a16="http://schemas.microsoft.com/office/drawing/2014/main" id="{A77AFC79-C79C-CA47-99E5-9DFF5F7C62FE}"/>
            </a:ext>
          </a:extLst>
        </xdr:cNvPr>
        <xdr:cNvSpPr txBox="1"/>
      </xdr:nvSpPr>
      <xdr:spPr>
        <a:xfrm>
          <a:off x="0" y="25111710"/>
          <a:ext cx="756000" cy="177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n-GB" sz="1050">
              <a:latin typeface="Abadi" panose="020B0604020104020204" pitchFamily="34" charset="0"/>
            </a:rPr>
            <a:t>10:30 am</a:t>
          </a:r>
          <a:endParaRPr lang="en-NG" sz="1050">
            <a:latin typeface="Abadi" panose="020B0604020104020204" pitchFamily="34" charset="0"/>
          </a:endParaRPr>
        </a:p>
      </xdr:txBody>
    </xdr:sp>
    <xdr:clientData/>
  </xdr:twoCellAnchor>
  <xdr:twoCellAnchor>
    <xdr:from>
      <xdr:col>0</xdr:col>
      <xdr:colOff>0</xdr:colOff>
      <xdr:row>111</xdr:row>
      <xdr:rowOff>0</xdr:rowOff>
    </xdr:from>
    <xdr:to>
      <xdr:col>1</xdr:col>
      <xdr:colOff>95600</xdr:colOff>
      <xdr:row>111</xdr:row>
      <xdr:rowOff>177800</xdr:rowOff>
    </xdr:to>
    <xdr:sp macro="" textlink="">
      <xdr:nvSpPr>
        <xdr:cNvPr id="274" name="TextBox 273">
          <a:extLst>
            <a:ext uri="{FF2B5EF4-FFF2-40B4-BE49-F238E27FC236}">
              <a16:creationId xmlns:a16="http://schemas.microsoft.com/office/drawing/2014/main" id="{698A7BD0-0F1A-D547-B804-BF429BFE3849}"/>
            </a:ext>
          </a:extLst>
        </xdr:cNvPr>
        <xdr:cNvSpPr txBox="1"/>
      </xdr:nvSpPr>
      <xdr:spPr>
        <a:xfrm>
          <a:off x="0" y="23936960"/>
          <a:ext cx="756000" cy="177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n-GB" sz="1050">
              <a:latin typeface="Abadi" panose="020B0604020104020204" pitchFamily="34" charset="0"/>
            </a:rPr>
            <a:t>09:00am</a:t>
          </a:r>
          <a:endParaRPr lang="en-NG" sz="1050">
            <a:latin typeface="Abadi" panose="020B0604020104020204" pitchFamily="34" charset="0"/>
          </a:endParaRPr>
        </a:p>
      </xdr:txBody>
    </xdr:sp>
    <xdr:clientData/>
  </xdr:twoCellAnchor>
  <xdr:twoCellAnchor>
    <xdr:from>
      <xdr:col>0</xdr:col>
      <xdr:colOff>0</xdr:colOff>
      <xdr:row>111</xdr:row>
      <xdr:rowOff>0</xdr:rowOff>
    </xdr:from>
    <xdr:to>
      <xdr:col>1</xdr:col>
      <xdr:colOff>95600</xdr:colOff>
      <xdr:row>111</xdr:row>
      <xdr:rowOff>177800</xdr:rowOff>
    </xdr:to>
    <xdr:sp macro="" textlink="">
      <xdr:nvSpPr>
        <xdr:cNvPr id="275" name="TextBox 274">
          <a:extLst>
            <a:ext uri="{FF2B5EF4-FFF2-40B4-BE49-F238E27FC236}">
              <a16:creationId xmlns:a16="http://schemas.microsoft.com/office/drawing/2014/main" id="{FED31371-7E9E-3547-B055-624099AFE142}"/>
            </a:ext>
          </a:extLst>
        </xdr:cNvPr>
        <xdr:cNvSpPr txBox="1"/>
      </xdr:nvSpPr>
      <xdr:spPr>
        <a:xfrm>
          <a:off x="0" y="23936960"/>
          <a:ext cx="756000" cy="177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n-GB" sz="1050">
              <a:latin typeface="Abadi" panose="020B0604020104020204" pitchFamily="34" charset="0"/>
            </a:rPr>
            <a:t>09:00am</a:t>
          </a:r>
          <a:endParaRPr lang="en-NG" sz="1050">
            <a:latin typeface="Abadi" panose="020B0604020104020204" pitchFamily="34" charset="0"/>
          </a:endParaRPr>
        </a:p>
      </xdr:txBody>
    </xdr:sp>
    <xdr:clientData/>
  </xdr:twoCellAnchor>
  <xdr:twoCellAnchor>
    <xdr:from>
      <xdr:col>0</xdr:col>
      <xdr:colOff>0</xdr:colOff>
      <xdr:row>116</xdr:row>
      <xdr:rowOff>0</xdr:rowOff>
    </xdr:from>
    <xdr:to>
      <xdr:col>1</xdr:col>
      <xdr:colOff>95600</xdr:colOff>
      <xdr:row>116</xdr:row>
      <xdr:rowOff>177800</xdr:rowOff>
    </xdr:to>
    <xdr:sp macro="" textlink="">
      <xdr:nvSpPr>
        <xdr:cNvPr id="276" name="TextBox 275">
          <a:extLst>
            <a:ext uri="{FF2B5EF4-FFF2-40B4-BE49-F238E27FC236}">
              <a16:creationId xmlns:a16="http://schemas.microsoft.com/office/drawing/2014/main" id="{CE948AA8-359E-464F-8CC4-263D40A89BF1}"/>
            </a:ext>
          </a:extLst>
        </xdr:cNvPr>
        <xdr:cNvSpPr txBox="1"/>
      </xdr:nvSpPr>
      <xdr:spPr>
        <a:xfrm>
          <a:off x="0" y="25105360"/>
          <a:ext cx="756000" cy="177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n-GB" sz="1050">
              <a:latin typeface="Abadi" panose="020B0604020104020204" pitchFamily="34" charset="0"/>
            </a:rPr>
            <a:t>09:00am</a:t>
          </a:r>
          <a:endParaRPr lang="en-NG" sz="1050">
            <a:latin typeface="Abadi" panose="020B0604020104020204" pitchFamily="34" charset="0"/>
          </a:endParaRPr>
        </a:p>
      </xdr:txBody>
    </xdr:sp>
    <xdr:clientData/>
  </xdr:twoCellAnchor>
  <xdr:twoCellAnchor>
    <xdr:from>
      <xdr:col>0</xdr:col>
      <xdr:colOff>0</xdr:colOff>
      <xdr:row>117</xdr:row>
      <xdr:rowOff>0</xdr:rowOff>
    </xdr:from>
    <xdr:to>
      <xdr:col>1</xdr:col>
      <xdr:colOff>95600</xdr:colOff>
      <xdr:row>117</xdr:row>
      <xdr:rowOff>177800</xdr:rowOff>
    </xdr:to>
    <xdr:sp macro="" textlink="">
      <xdr:nvSpPr>
        <xdr:cNvPr id="277" name="TextBox 276">
          <a:extLst>
            <a:ext uri="{FF2B5EF4-FFF2-40B4-BE49-F238E27FC236}">
              <a16:creationId xmlns:a16="http://schemas.microsoft.com/office/drawing/2014/main" id="{F0893859-DBF7-3945-9CB2-A87F61851468}"/>
            </a:ext>
          </a:extLst>
        </xdr:cNvPr>
        <xdr:cNvSpPr txBox="1"/>
      </xdr:nvSpPr>
      <xdr:spPr>
        <a:xfrm>
          <a:off x="0" y="23703280"/>
          <a:ext cx="756000" cy="177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n-GB" sz="1050">
              <a:latin typeface="Abadi" panose="020B0604020104020204" pitchFamily="34" charset="0"/>
            </a:rPr>
            <a:t>09:00am</a:t>
          </a:r>
          <a:endParaRPr lang="en-NG" sz="1050">
            <a:latin typeface="Abadi" panose="020B0604020104020204" pitchFamily="34" charset="0"/>
          </a:endParaRPr>
        </a:p>
      </xdr:txBody>
    </xdr:sp>
    <xdr:clientData/>
  </xdr:twoCellAnchor>
  <xdr:twoCellAnchor>
    <xdr:from>
      <xdr:col>0</xdr:col>
      <xdr:colOff>0</xdr:colOff>
      <xdr:row>118</xdr:row>
      <xdr:rowOff>6350</xdr:rowOff>
    </xdr:from>
    <xdr:to>
      <xdr:col>1</xdr:col>
      <xdr:colOff>95600</xdr:colOff>
      <xdr:row>118</xdr:row>
      <xdr:rowOff>184150</xdr:rowOff>
    </xdr:to>
    <xdr:sp macro="" textlink="">
      <xdr:nvSpPr>
        <xdr:cNvPr id="278" name="TextBox 277">
          <a:extLst>
            <a:ext uri="{FF2B5EF4-FFF2-40B4-BE49-F238E27FC236}">
              <a16:creationId xmlns:a16="http://schemas.microsoft.com/office/drawing/2014/main" id="{CFDC3513-13C1-C24F-B977-4187B04B15E8}"/>
            </a:ext>
          </a:extLst>
        </xdr:cNvPr>
        <xdr:cNvSpPr txBox="1"/>
      </xdr:nvSpPr>
      <xdr:spPr>
        <a:xfrm>
          <a:off x="0" y="23943310"/>
          <a:ext cx="756000" cy="177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n-GB" sz="1050">
              <a:latin typeface="Abadi" panose="020B0604020104020204" pitchFamily="34" charset="0"/>
            </a:rPr>
            <a:t>09:15 am</a:t>
          </a:r>
          <a:endParaRPr lang="en-NG" sz="1050">
            <a:latin typeface="Abadi" panose="020B0604020104020204" pitchFamily="34" charset="0"/>
          </a:endParaRPr>
        </a:p>
      </xdr:txBody>
    </xdr:sp>
    <xdr:clientData/>
  </xdr:twoCellAnchor>
  <xdr:twoCellAnchor>
    <xdr:from>
      <xdr:col>0</xdr:col>
      <xdr:colOff>0</xdr:colOff>
      <xdr:row>119</xdr:row>
      <xdr:rowOff>6350</xdr:rowOff>
    </xdr:from>
    <xdr:to>
      <xdr:col>1</xdr:col>
      <xdr:colOff>95600</xdr:colOff>
      <xdr:row>119</xdr:row>
      <xdr:rowOff>184150</xdr:rowOff>
    </xdr:to>
    <xdr:sp macro="" textlink="">
      <xdr:nvSpPr>
        <xdr:cNvPr id="279" name="TextBox 278">
          <a:extLst>
            <a:ext uri="{FF2B5EF4-FFF2-40B4-BE49-F238E27FC236}">
              <a16:creationId xmlns:a16="http://schemas.microsoft.com/office/drawing/2014/main" id="{D5E573DB-3EEE-D641-AE4F-1A1859BF3983}"/>
            </a:ext>
          </a:extLst>
        </xdr:cNvPr>
        <xdr:cNvSpPr txBox="1"/>
      </xdr:nvSpPr>
      <xdr:spPr>
        <a:xfrm>
          <a:off x="0" y="24176990"/>
          <a:ext cx="756000" cy="177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n-GB" sz="1050">
              <a:latin typeface="Abadi" panose="020B0604020104020204" pitchFamily="34" charset="0"/>
            </a:rPr>
            <a:t>09:30 am</a:t>
          </a:r>
          <a:endParaRPr lang="en-NG" sz="1050">
            <a:latin typeface="Abadi" panose="020B0604020104020204" pitchFamily="34" charset="0"/>
          </a:endParaRPr>
        </a:p>
      </xdr:txBody>
    </xdr:sp>
    <xdr:clientData/>
  </xdr:twoCellAnchor>
  <xdr:twoCellAnchor>
    <xdr:from>
      <xdr:col>0</xdr:col>
      <xdr:colOff>0</xdr:colOff>
      <xdr:row>120</xdr:row>
      <xdr:rowOff>6350</xdr:rowOff>
    </xdr:from>
    <xdr:to>
      <xdr:col>1</xdr:col>
      <xdr:colOff>95600</xdr:colOff>
      <xdr:row>120</xdr:row>
      <xdr:rowOff>184150</xdr:rowOff>
    </xdr:to>
    <xdr:sp macro="" textlink="">
      <xdr:nvSpPr>
        <xdr:cNvPr id="280" name="TextBox 279">
          <a:extLst>
            <a:ext uri="{FF2B5EF4-FFF2-40B4-BE49-F238E27FC236}">
              <a16:creationId xmlns:a16="http://schemas.microsoft.com/office/drawing/2014/main" id="{5EEFA7C2-A7E0-A74F-95F9-435FE0344784}"/>
            </a:ext>
          </a:extLst>
        </xdr:cNvPr>
        <xdr:cNvSpPr txBox="1"/>
      </xdr:nvSpPr>
      <xdr:spPr>
        <a:xfrm>
          <a:off x="0" y="24410670"/>
          <a:ext cx="756000" cy="177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n-GB" sz="1050">
              <a:latin typeface="Abadi" panose="020B0604020104020204" pitchFamily="34" charset="0"/>
            </a:rPr>
            <a:t>09:45 am</a:t>
          </a:r>
          <a:endParaRPr lang="en-NG" sz="1050">
            <a:latin typeface="Abadi" panose="020B0604020104020204" pitchFamily="34" charset="0"/>
          </a:endParaRPr>
        </a:p>
      </xdr:txBody>
    </xdr:sp>
    <xdr:clientData/>
  </xdr:twoCellAnchor>
  <xdr:twoCellAnchor>
    <xdr:from>
      <xdr:col>0</xdr:col>
      <xdr:colOff>0</xdr:colOff>
      <xdr:row>121</xdr:row>
      <xdr:rowOff>6350</xdr:rowOff>
    </xdr:from>
    <xdr:to>
      <xdr:col>1</xdr:col>
      <xdr:colOff>95600</xdr:colOff>
      <xdr:row>121</xdr:row>
      <xdr:rowOff>184150</xdr:rowOff>
    </xdr:to>
    <xdr:sp macro="" textlink="">
      <xdr:nvSpPr>
        <xdr:cNvPr id="281" name="TextBox 280">
          <a:extLst>
            <a:ext uri="{FF2B5EF4-FFF2-40B4-BE49-F238E27FC236}">
              <a16:creationId xmlns:a16="http://schemas.microsoft.com/office/drawing/2014/main" id="{85289863-7940-6643-B2E3-A2D05C5D19A6}"/>
            </a:ext>
          </a:extLst>
        </xdr:cNvPr>
        <xdr:cNvSpPr txBox="1"/>
      </xdr:nvSpPr>
      <xdr:spPr>
        <a:xfrm>
          <a:off x="0" y="24644350"/>
          <a:ext cx="756000" cy="177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l"/>
          <a:r>
            <a:rPr lang="en-GB" sz="1050">
              <a:latin typeface="Abadi" panose="020B0604020104020204" pitchFamily="34" charset="0"/>
            </a:rPr>
            <a:t>10:00 am</a:t>
          </a:r>
          <a:endParaRPr lang="en-NG" sz="1050">
            <a:latin typeface="Abadi" panose="020B0604020104020204" pitchFamily="34" charset="0"/>
          </a:endParaRPr>
        </a:p>
      </xdr:txBody>
    </xdr:sp>
    <xdr:clientData/>
  </xdr:twoCellAnchor>
  <xdr:twoCellAnchor>
    <xdr:from>
      <xdr:col>0</xdr:col>
      <xdr:colOff>0</xdr:colOff>
      <xdr:row>122</xdr:row>
      <xdr:rowOff>6350</xdr:rowOff>
    </xdr:from>
    <xdr:to>
      <xdr:col>1</xdr:col>
      <xdr:colOff>95600</xdr:colOff>
      <xdr:row>122</xdr:row>
      <xdr:rowOff>184150</xdr:rowOff>
    </xdr:to>
    <xdr:sp macro="" textlink="">
      <xdr:nvSpPr>
        <xdr:cNvPr id="282" name="TextBox 281">
          <a:extLst>
            <a:ext uri="{FF2B5EF4-FFF2-40B4-BE49-F238E27FC236}">
              <a16:creationId xmlns:a16="http://schemas.microsoft.com/office/drawing/2014/main" id="{9E239EED-5F3F-5640-A785-34B3976B2663}"/>
            </a:ext>
          </a:extLst>
        </xdr:cNvPr>
        <xdr:cNvSpPr txBox="1"/>
      </xdr:nvSpPr>
      <xdr:spPr>
        <a:xfrm>
          <a:off x="0" y="24878030"/>
          <a:ext cx="756000" cy="177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GB" sz="1050">
              <a:latin typeface="Abadi" panose="020B0604020104020204" pitchFamily="34" charset="0"/>
            </a:rPr>
            <a:t>10:15</a:t>
          </a:r>
          <a:r>
            <a:rPr lang="en-GB" sz="1050" baseline="0">
              <a:latin typeface="Abadi" panose="020B0604020104020204" pitchFamily="34" charset="0"/>
            </a:rPr>
            <a:t> am</a:t>
          </a:r>
          <a:endParaRPr lang="en-NG" sz="1050">
            <a:latin typeface="Abadi" panose="020B0604020104020204" pitchFamily="34" charset="0"/>
          </a:endParaRPr>
        </a:p>
      </xdr:txBody>
    </xdr:sp>
    <xdr:clientData/>
  </xdr:twoCellAnchor>
  <xdr:twoCellAnchor>
    <xdr:from>
      <xdr:col>0</xdr:col>
      <xdr:colOff>0</xdr:colOff>
      <xdr:row>123</xdr:row>
      <xdr:rowOff>6350</xdr:rowOff>
    </xdr:from>
    <xdr:to>
      <xdr:col>1</xdr:col>
      <xdr:colOff>95600</xdr:colOff>
      <xdr:row>123</xdr:row>
      <xdr:rowOff>184150</xdr:rowOff>
    </xdr:to>
    <xdr:sp macro="" textlink="">
      <xdr:nvSpPr>
        <xdr:cNvPr id="283" name="TextBox 282">
          <a:extLst>
            <a:ext uri="{FF2B5EF4-FFF2-40B4-BE49-F238E27FC236}">
              <a16:creationId xmlns:a16="http://schemas.microsoft.com/office/drawing/2014/main" id="{529422B1-00E6-C84F-B01D-EA160E18114E}"/>
            </a:ext>
          </a:extLst>
        </xdr:cNvPr>
        <xdr:cNvSpPr txBox="1"/>
      </xdr:nvSpPr>
      <xdr:spPr>
        <a:xfrm>
          <a:off x="0" y="25111710"/>
          <a:ext cx="756000" cy="177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n-GB" sz="1050">
              <a:latin typeface="Abadi" panose="020B0604020104020204" pitchFamily="34" charset="0"/>
            </a:rPr>
            <a:t>10:30 am</a:t>
          </a:r>
          <a:endParaRPr lang="en-NG" sz="1050">
            <a:latin typeface="Abadi" panose="020B0604020104020204" pitchFamily="34" charset="0"/>
          </a:endParaRPr>
        </a:p>
      </xdr:txBody>
    </xdr:sp>
    <xdr:clientData/>
  </xdr:twoCellAnchor>
  <xdr:twoCellAnchor>
    <xdr:from>
      <xdr:col>0</xdr:col>
      <xdr:colOff>0</xdr:colOff>
      <xdr:row>118</xdr:row>
      <xdr:rowOff>0</xdr:rowOff>
    </xdr:from>
    <xdr:to>
      <xdr:col>1</xdr:col>
      <xdr:colOff>95600</xdr:colOff>
      <xdr:row>118</xdr:row>
      <xdr:rowOff>177800</xdr:rowOff>
    </xdr:to>
    <xdr:sp macro="" textlink="">
      <xdr:nvSpPr>
        <xdr:cNvPr id="284" name="TextBox 283">
          <a:extLst>
            <a:ext uri="{FF2B5EF4-FFF2-40B4-BE49-F238E27FC236}">
              <a16:creationId xmlns:a16="http://schemas.microsoft.com/office/drawing/2014/main" id="{AE0810FF-D3D3-2E47-A4B4-38573F184C35}"/>
            </a:ext>
          </a:extLst>
        </xdr:cNvPr>
        <xdr:cNvSpPr txBox="1"/>
      </xdr:nvSpPr>
      <xdr:spPr>
        <a:xfrm>
          <a:off x="0" y="23936960"/>
          <a:ext cx="756000" cy="177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n-GB" sz="1050">
              <a:latin typeface="Abadi" panose="020B0604020104020204" pitchFamily="34" charset="0"/>
            </a:rPr>
            <a:t>09:00am</a:t>
          </a:r>
          <a:endParaRPr lang="en-NG" sz="1050">
            <a:latin typeface="Abadi" panose="020B0604020104020204" pitchFamily="34" charset="0"/>
          </a:endParaRPr>
        </a:p>
      </xdr:txBody>
    </xdr:sp>
    <xdr:clientData/>
  </xdr:twoCellAnchor>
  <xdr:twoCellAnchor>
    <xdr:from>
      <xdr:col>0</xdr:col>
      <xdr:colOff>0</xdr:colOff>
      <xdr:row>118</xdr:row>
      <xdr:rowOff>0</xdr:rowOff>
    </xdr:from>
    <xdr:to>
      <xdr:col>1</xdr:col>
      <xdr:colOff>95600</xdr:colOff>
      <xdr:row>118</xdr:row>
      <xdr:rowOff>177800</xdr:rowOff>
    </xdr:to>
    <xdr:sp macro="" textlink="">
      <xdr:nvSpPr>
        <xdr:cNvPr id="285" name="TextBox 284">
          <a:extLst>
            <a:ext uri="{FF2B5EF4-FFF2-40B4-BE49-F238E27FC236}">
              <a16:creationId xmlns:a16="http://schemas.microsoft.com/office/drawing/2014/main" id="{132291E3-1457-DA45-BC76-19C7B2D8654E}"/>
            </a:ext>
          </a:extLst>
        </xdr:cNvPr>
        <xdr:cNvSpPr txBox="1"/>
      </xdr:nvSpPr>
      <xdr:spPr>
        <a:xfrm>
          <a:off x="0" y="23936960"/>
          <a:ext cx="756000" cy="177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n-GB" sz="1050">
              <a:latin typeface="Abadi" panose="020B0604020104020204" pitchFamily="34" charset="0"/>
            </a:rPr>
            <a:t>09:00am</a:t>
          </a:r>
          <a:endParaRPr lang="en-NG" sz="1050">
            <a:latin typeface="Abadi" panose="020B0604020104020204" pitchFamily="34" charset="0"/>
          </a:endParaRPr>
        </a:p>
      </xdr:txBody>
    </xdr:sp>
    <xdr:clientData/>
  </xdr:twoCellAnchor>
  <xdr:twoCellAnchor>
    <xdr:from>
      <xdr:col>0</xdr:col>
      <xdr:colOff>0</xdr:colOff>
      <xdr:row>123</xdr:row>
      <xdr:rowOff>0</xdr:rowOff>
    </xdr:from>
    <xdr:to>
      <xdr:col>1</xdr:col>
      <xdr:colOff>95600</xdr:colOff>
      <xdr:row>123</xdr:row>
      <xdr:rowOff>177800</xdr:rowOff>
    </xdr:to>
    <xdr:sp macro="" textlink="">
      <xdr:nvSpPr>
        <xdr:cNvPr id="286" name="TextBox 285">
          <a:extLst>
            <a:ext uri="{FF2B5EF4-FFF2-40B4-BE49-F238E27FC236}">
              <a16:creationId xmlns:a16="http://schemas.microsoft.com/office/drawing/2014/main" id="{BDA2BA7E-AE57-8349-AC26-D26CD3AB86C6}"/>
            </a:ext>
          </a:extLst>
        </xdr:cNvPr>
        <xdr:cNvSpPr txBox="1"/>
      </xdr:nvSpPr>
      <xdr:spPr>
        <a:xfrm>
          <a:off x="0" y="25105360"/>
          <a:ext cx="756000" cy="177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n-GB" sz="1050">
              <a:latin typeface="Abadi" panose="020B0604020104020204" pitchFamily="34" charset="0"/>
            </a:rPr>
            <a:t>09:00am</a:t>
          </a:r>
          <a:endParaRPr lang="en-NG" sz="1050">
            <a:latin typeface="Abadi" panose="020B0604020104020204" pitchFamily="34" charset="0"/>
          </a:endParaRPr>
        </a:p>
      </xdr:txBody>
    </xdr:sp>
    <xdr:clientData/>
  </xdr:twoCellAnchor>
  <xdr:twoCellAnchor>
    <xdr:from>
      <xdr:col>0</xdr:col>
      <xdr:colOff>0</xdr:colOff>
      <xdr:row>124</xdr:row>
      <xdr:rowOff>0</xdr:rowOff>
    </xdr:from>
    <xdr:to>
      <xdr:col>1</xdr:col>
      <xdr:colOff>95600</xdr:colOff>
      <xdr:row>124</xdr:row>
      <xdr:rowOff>177800</xdr:rowOff>
    </xdr:to>
    <xdr:sp macro="" textlink="">
      <xdr:nvSpPr>
        <xdr:cNvPr id="287" name="TextBox 286">
          <a:extLst>
            <a:ext uri="{FF2B5EF4-FFF2-40B4-BE49-F238E27FC236}">
              <a16:creationId xmlns:a16="http://schemas.microsoft.com/office/drawing/2014/main" id="{A4A19F08-B0D4-6D4F-AE20-B76A8D1BEEFD}"/>
            </a:ext>
          </a:extLst>
        </xdr:cNvPr>
        <xdr:cNvSpPr txBox="1"/>
      </xdr:nvSpPr>
      <xdr:spPr>
        <a:xfrm>
          <a:off x="0" y="23703280"/>
          <a:ext cx="756000" cy="177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n-GB" sz="1050">
              <a:latin typeface="Abadi" panose="020B0604020104020204" pitchFamily="34" charset="0"/>
            </a:rPr>
            <a:t>09:00am</a:t>
          </a:r>
          <a:endParaRPr lang="en-NG" sz="1050">
            <a:latin typeface="Abadi" panose="020B0604020104020204" pitchFamily="34" charset="0"/>
          </a:endParaRPr>
        </a:p>
      </xdr:txBody>
    </xdr:sp>
    <xdr:clientData/>
  </xdr:twoCellAnchor>
  <xdr:twoCellAnchor>
    <xdr:from>
      <xdr:col>0</xdr:col>
      <xdr:colOff>0</xdr:colOff>
      <xdr:row>125</xdr:row>
      <xdr:rowOff>6350</xdr:rowOff>
    </xdr:from>
    <xdr:to>
      <xdr:col>1</xdr:col>
      <xdr:colOff>95600</xdr:colOff>
      <xdr:row>125</xdr:row>
      <xdr:rowOff>184150</xdr:rowOff>
    </xdr:to>
    <xdr:sp macro="" textlink="">
      <xdr:nvSpPr>
        <xdr:cNvPr id="288" name="TextBox 287">
          <a:extLst>
            <a:ext uri="{FF2B5EF4-FFF2-40B4-BE49-F238E27FC236}">
              <a16:creationId xmlns:a16="http://schemas.microsoft.com/office/drawing/2014/main" id="{5103C91B-507B-7542-B840-AF29E2D61F88}"/>
            </a:ext>
          </a:extLst>
        </xdr:cNvPr>
        <xdr:cNvSpPr txBox="1"/>
      </xdr:nvSpPr>
      <xdr:spPr>
        <a:xfrm>
          <a:off x="0" y="23943310"/>
          <a:ext cx="756000" cy="177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n-GB" sz="1050">
              <a:latin typeface="Abadi" panose="020B0604020104020204" pitchFamily="34" charset="0"/>
            </a:rPr>
            <a:t>09:15 am</a:t>
          </a:r>
          <a:endParaRPr lang="en-NG" sz="1050">
            <a:latin typeface="Abadi" panose="020B0604020104020204" pitchFamily="34" charset="0"/>
          </a:endParaRPr>
        </a:p>
      </xdr:txBody>
    </xdr:sp>
    <xdr:clientData/>
  </xdr:twoCellAnchor>
  <xdr:twoCellAnchor>
    <xdr:from>
      <xdr:col>0</xdr:col>
      <xdr:colOff>0</xdr:colOff>
      <xdr:row>126</xdr:row>
      <xdr:rowOff>6350</xdr:rowOff>
    </xdr:from>
    <xdr:to>
      <xdr:col>1</xdr:col>
      <xdr:colOff>95600</xdr:colOff>
      <xdr:row>126</xdr:row>
      <xdr:rowOff>184150</xdr:rowOff>
    </xdr:to>
    <xdr:sp macro="" textlink="">
      <xdr:nvSpPr>
        <xdr:cNvPr id="289" name="TextBox 288">
          <a:extLst>
            <a:ext uri="{FF2B5EF4-FFF2-40B4-BE49-F238E27FC236}">
              <a16:creationId xmlns:a16="http://schemas.microsoft.com/office/drawing/2014/main" id="{1114C7A2-E9F2-924A-85C3-4E170848FA9B}"/>
            </a:ext>
          </a:extLst>
        </xdr:cNvPr>
        <xdr:cNvSpPr txBox="1"/>
      </xdr:nvSpPr>
      <xdr:spPr>
        <a:xfrm>
          <a:off x="0" y="24176990"/>
          <a:ext cx="756000" cy="177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n-GB" sz="1050">
              <a:latin typeface="Abadi" panose="020B0604020104020204" pitchFamily="34" charset="0"/>
            </a:rPr>
            <a:t>09:30 am</a:t>
          </a:r>
          <a:endParaRPr lang="en-NG" sz="1050">
            <a:latin typeface="Abadi" panose="020B0604020104020204" pitchFamily="34" charset="0"/>
          </a:endParaRPr>
        </a:p>
      </xdr:txBody>
    </xdr:sp>
    <xdr:clientData/>
  </xdr:twoCellAnchor>
  <xdr:twoCellAnchor>
    <xdr:from>
      <xdr:col>0</xdr:col>
      <xdr:colOff>0</xdr:colOff>
      <xdr:row>127</xdr:row>
      <xdr:rowOff>6350</xdr:rowOff>
    </xdr:from>
    <xdr:to>
      <xdr:col>1</xdr:col>
      <xdr:colOff>95600</xdr:colOff>
      <xdr:row>127</xdr:row>
      <xdr:rowOff>184150</xdr:rowOff>
    </xdr:to>
    <xdr:sp macro="" textlink="">
      <xdr:nvSpPr>
        <xdr:cNvPr id="290" name="TextBox 289">
          <a:extLst>
            <a:ext uri="{FF2B5EF4-FFF2-40B4-BE49-F238E27FC236}">
              <a16:creationId xmlns:a16="http://schemas.microsoft.com/office/drawing/2014/main" id="{0F69F688-C511-254C-BD79-A9C0AE23EC7C}"/>
            </a:ext>
          </a:extLst>
        </xdr:cNvPr>
        <xdr:cNvSpPr txBox="1"/>
      </xdr:nvSpPr>
      <xdr:spPr>
        <a:xfrm>
          <a:off x="0" y="24410670"/>
          <a:ext cx="756000" cy="177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n-GB" sz="1050">
              <a:latin typeface="Abadi" panose="020B0604020104020204" pitchFamily="34" charset="0"/>
            </a:rPr>
            <a:t>09:45 am</a:t>
          </a:r>
          <a:endParaRPr lang="en-NG" sz="1050">
            <a:latin typeface="Abadi" panose="020B0604020104020204" pitchFamily="34" charset="0"/>
          </a:endParaRPr>
        </a:p>
      </xdr:txBody>
    </xdr:sp>
    <xdr:clientData/>
  </xdr:twoCellAnchor>
  <xdr:twoCellAnchor>
    <xdr:from>
      <xdr:col>0</xdr:col>
      <xdr:colOff>0</xdr:colOff>
      <xdr:row>128</xdr:row>
      <xdr:rowOff>6350</xdr:rowOff>
    </xdr:from>
    <xdr:to>
      <xdr:col>1</xdr:col>
      <xdr:colOff>95600</xdr:colOff>
      <xdr:row>128</xdr:row>
      <xdr:rowOff>184150</xdr:rowOff>
    </xdr:to>
    <xdr:sp macro="" textlink="">
      <xdr:nvSpPr>
        <xdr:cNvPr id="291" name="TextBox 290">
          <a:extLst>
            <a:ext uri="{FF2B5EF4-FFF2-40B4-BE49-F238E27FC236}">
              <a16:creationId xmlns:a16="http://schemas.microsoft.com/office/drawing/2014/main" id="{730FCA29-BEBF-BD43-ACCF-5B5A57D5A3C4}"/>
            </a:ext>
          </a:extLst>
        </xdr:cNvPr>
        <xdr:cNvSpPr txBox="1"/>
      </xdr:nvSpPr>
      <xdr:spPr>
        <a:xfrm>
          <a:off x="0" y="24644350"/>
          <a:ext cx="756000" cy="177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l"/>
          <a:r>
            <a:rPr lang="en-GB" sz="1050">
              <a:latin typeface="Abadi" panose="020B0604020104020204" pitchFamily="34" charset="0"/>
            </a:rPr>
            <a:t>10:00 am</a:t>
          </a:r>
          <a:endParaRPr lang="en-NG" sz="1050">
            <a:latin typeface="Abadi" panose="020B0604020104020204" pitchFamily="34" charset="0"/>
          </a:endParaRPr>
        </a:p>
      </xdr:txBody>
    </xdr:sp>
    <xdr:clientData/>
  </xdr:twoCellAnchor>
  <xdr:twoCellAnchor>
    <xdr:from>
      <xdr:col>0</xdr:col>
      <xdr:colOff>0</xdr:colOff>
      <xdr:row>129</xdr:row>
      <xdr:rowOff>6350</xdr:rowOff>
    </xdr:from>
    <xdr:to>
      <xdr:col>1</xdr:col>
      <xdr:colOff>95600</xdr:colOff>
      <xdr:row>129</xdr:row>
      <xdr:rowOff>184150</xdr:rowOff>
    </xdr:to>
    <xdr:sp macro="" textlink="">
      <xdr:nvSpPr>
        <xdr:cNvPr id="292" name="TextBox 291">
          <a:extLst>
            <a:ext uri="{FF2B5EF4-FFF2-40B4-BE49-F238E27FC236}">
              <a16:creationId xmlns:a16="http://schemas.microsoft.com/office/drawing/2014/main" id="{B30364A0-48D0-DB47-9218-A6FA48263A97}"/>
            </a:ext>
          </a:extLst>
        </xdr:cNvPr>
        <xdr:cNvSpPr txBox="1"/>
      </xdr:nvSpPr>
      <xdr:spPr>
        <a:xfrm>
          <a:off x="0" y="24878030"/>
          <a:ext cx="756000" cy="177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GB" sz="1050">
              <a:latin typeface="Abadi" panose="020B0604020104020204" pitchFamily="34" charset="0"/>
            </a:rPr>
            <a:t>10:15</a:t>
          </a:r>
          <a:r>
            <a:rPr lang="en-GB" sz="1050" baseline="0">
              <a:latin typeface="Abadi" panose="020B0604020104020204" pitchFamily="34" charset="0"/>
            </a:rPr>
            <a:t> am</a:t>
          </a:r>
          <a:endParaRPr lang="en-NG" sz="1050">
            <a:latin typeface="Abadi" panose="020B0604020104020204" pitchFamily="34" charset="0"/>
          </a:endParaRPr>
        </a:p>
      </xdr:txBody>
    </xdr:sp>
    <xdr:clientData/>
  </xdr:twoCellAnchor>
  <xdr:twoCellAnchor>
    <xdr:from>
      <xdr:col>0</xdr:col>
      <xdr:colOff>0</xdr:colOff>
      <xdr:row>130</xdr:row>
      <xdr:rowOff>6350</xdr:rowOff>
    </xdr:from>
    <xdr:to>
      <xdr:col>1</xdr:col>
      <xdr:colOff>95600</xdr:colOff>
      <xdr:row>130</xdr:row>
      <xdr:rowOff>184150</xdr:rowOff>
    </xdr:to>
    <xdr:sp macro="" textlink="">
      <xdr:nvSpPr>
        <xdr:cNvPr id="293" name="TextBox 292">
          <a:extLst>
            <a:ext uri="{FF2B5EF4-FFF2-40B4-BE49-F238E27FC236}">
              <a16:creationId xmlns:a16="http://schemas.microsoft.com/office/drawing/2014/main" id="{84520B98-E524-4048-B34F-4F7527CA0722}"/>
            </a:ext>
          </a:extLst>
        </xdr:cNvPr>
        <xdr:cNvSpPr txBox="1"/>
      </xdr:nvSpPr>
      <xdr:spPr>
        <a:xfrm>
          <a:off x="0" y="25111710"/>
          <a:ext cx="756000" cy="177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n-GB" sz="1050">
              <a:latin typeface="Abadi" panose="020B0604020104020204" pitchFamily="34" charset="0"/>
            </a:rPr>
            <a:t>10:30 am</a:t>
          </a:r>
          <a:endParaRPr lang="en-NG" sz="1050">
            <a:latin typeface="Abadi" panose="020B0604020104020204" pitchFamily="34" charset="0"/>
          </a:endParaRPr>
        </a:p>
      </xdr:txBody>
    </xdr:sp>
    <xdr:clientData/>
  </xdr:twoCellAnchor>
  <xdr:twoCellAnchor>
    <xdr:from>
      <xdr:col>0</xdr:col>
      <xdr:colOff>0</xdr:colOff>
      <xdr:row>125</xdr:row>
      <xdr:rowOff>0</xdr:rowOff>
    </xdr:from>
    <xdr:to>
      <xdr:col>1</xdr:col>
      <xdr:colOff>95600</xdr:colOff>
      <xdr:row>125</xdr:row>
      <xdr:rowOff>177800</xdr:rowOff>
    </xdr:to>
    <xdr:sp macro="" textlink="">
      <xdr:nvSpPr>
        <xdr:cNvPr id="294" name="TextBox 293">
          <a:extLst>
            <a:ext uri="{FF2B5EF4-FFF2-40B4-BE49-F238E27FC236}">
              <a16:creationId xmlns:a16="http://schemas.microsoft.com/office/drawing/2014/main" id="{A4DBF5EE-C249-214D-8F76-89FBFEC959FB}"/>
            </a:ext>
          </a:extLst>
        </xdr:cNvPr>
        <xdr:cNvSpPr txBox="1"/>
      </xdr:nvSpPr>
      <xdr:spPr>
        <a:xfrm>
          <a:off x="0" y="23936960"/>
          <a:ext cx="756000" cy="177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n-GB" sz="1050">
              <a:latin typeface="Abadi" panose="020B0604020104020204" pitchFamily="34" charset="0"/>
            </a:rPr>
            <a:t>09:00am</a:t>
          </a:r>
          <a:endParaRPr lang="en-NG" sz="1050">
            <a:latin typeface="Abadi" panose="020B0604020104020204" pitchFamily="34" charset="0"/>
          </a:endParaRPr>
        </a:p>
      </xdr:txBody>
    </xdr:sp>
    <xdr:clientData/>
  </xdr:twoCellAnchor>
  <xdr:twoCellAnchor>
    <xdr:from>
      <xdr:col>0</xdr:col>
      <xdr:colOff>0</xdr:colOff>
      <xdr:row>125</xdr:row>
      <xdr:rowOff>0</xdr:rowOff>
    </xdr:from>
    <xdr:to>
      <xdr:col>1</xdr:col>
      <xdr:colOff>95600</xdr:colOff>
      <xdr:row>125</xdr:row>
      <xdr:rowOff>177800</xdr:rowOff>
    </xdr:to>
    <xdr:sp macro="" textlink="">
      <xdr:nvSpPr>
        <xdr:cNvPr id="295" name="TextBox 294">
          <a:extLst>
            <a:ext uri="{FF2B5EF4-FFF2-40B4-BE49-F238E27FC236}">
              <a16:creationId xmlns:a16="http://schemas.microsoft.com/office/drawing/2014/main" id="{75A9FD69-4C09-AC40-80E7-635586B577D4}"/>
            </a:ext>
          </a:extLst>
        </xdr:cNvPr>
        <xdr:cNvSpPr txBox="1"/>
      </xdr:nvSpPr>
      <xdr:spPr>
        <a:xfrm>
          <a:off x="0" y="23936960"/>
          <a:ext cx="756000" cy="177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n-GB" sz="1050">
              <a:latin typeface="Abadi" panose="020B0604020104020204" pitchFamily="34" charset="0"/>
            </a:rPr>
            <a:t>09:00am</a:t>
          </a:r>
          <a:endParaRPr lang="en-NG" sz="1050">
            <a:latin typeface="Abadi" panose="020B0604020104020204" pitchFamily="34" charset="0"/>
          </a:endParaRPr>
        </a:p>
      </xdr:txBody>
    </xdr:sp>
    <xdr:clientData/>
  </xdr:twoCellAnchor>
  <xdr:twoCellAnchor>
    <xdr:from>
      <xdr:col>0</xdr:col>
      <xdr:colOff>0</xdr:colOff>
      <xdr:row>130</xdr:row>
      <xdr:rowOff>0</xdr:rowOff>
    </xdr:from>
    <xdr:to>
      <xdr:col>1</xdr:col>
      <xdr:colOff>95600</xdr:colOff>
      <xdr:row>130</xdr:row>
      <xdr:rowOff>177800</xdr:rowOff>
    </xdr:to>
    <xdr:sp macro="" textlink="">
      <xdr:nvSpPr>
        <xdr:cNvPr id="296" name="TextBox 295">
          <a:extLst>
            <a:ext uri="{FF2B5EF4-FFF2-40B4-BE49-F238E27FC236}">
              <a16:creationId xmlns:a16="http://schemas.microsoft.com/office/drawing/2014/main" id="{AF8BE518-69A0-3445-BD16-DEE6FC47DF0F}"/>
            </a:ext>
          </a:extLst>
        </xdr:cNvPr>
        <xdr:cNvSpPr txBox="1"/>
      </xdr:nvSpPr>
      <xdr:spPr>
        <a:xfrm>
          <a:off x="0" y="25105360"/>
          <a:ext cx="756000" cy="177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n-GB" sz="1050">
              <a:latin typeface="Abadi" panose="020B0604020104020204" pitchFamily="34" charset="0"/>
            </a:rPr>
            <a:t>09:00am</a:t>
          </a:r>
          <a:endParaRPr lang="en-NG" sz="1050">
            <a:latin typeface="Abadi" panose="020B0604020104020204" pitchFamily="34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874DC6-B413-4164-9B0A-941FFB304ACA}">
  <sheetPr codeName="Sheet1"/>
  <dimension ref="A1:AA556"/>
  <sheetViews>
    <sheetView showGridLines="0" tabSelected="1" topLeftCell="A167" zoomScale="164" zoomScaleNormal="100" workbookViewId="0">
      <selection activeCell="F174" sqref="F174"/>
    </sheetView>
  </sheetViews>
  <sheetFormatPr baseColWidth="10" defaultColWidth="0" defaultRowHeight="15.5" customHeight="1" zeroHeight="1"/>
  <cols>
    <col min="1" max="2" width="8.6640625" customWidth="1"/>
    <col min="3" max="3" width="9.6640625" customWidth="1"/>
    <col min="4" max="4" width="12.1640625" customWidth="1"/>
    <col min="5" max="5" width="9.83203125" customWidth="1"/>
    <col min="6" max="6" width="8.6640625" customWidth="1"/>
    <col min="7" max="7" width="9.6640625" customWidth="1"/>
    <col min="8" max="8" width="1.6640625" customWidth="1"/>
    <col min="9" max="9" width="8.6640625" customWidth="1"/>
    <col min="10" max="10" width="11.83203125" customWidth="1"/>
    <col min="11" max="11" width="0.6640625" customWidth="1"/>
    <col min="12" max="12" width="1.6640625" customWidth="1"/>
    <col min="13" max="22" width="8.6640625" hidden="1" customWidth="1"/>
    <col min="23" max="23" width="9.6640625" style="1" hidden="1" customWidth="1"/>
    <col min="24" max="24" width="32.83203125" hidden="1" customWidth="1"/>
    <col min="25" max="25" width="66.83203125" hidden="1" customWidth="1"/>
    <col min="26" max="16384" width="8.6640625" hidden="1"/>
  </cols>
  <sheetData>
    <row r="1" spans="1:27" ht="15.5" customHeight="1">
      <c r="AA1" t="s">
        <v>0</v>
      </c>
    </row>
    <row r="2" spans="1:27" ht="16">
      <c r="D2" s="2"/>
      <c r="E2" s="2" t="str">
        <f>""</f>
        <v/>
      </c>
      <c r="F2" s="2"/>
      <c r="I2" s="65" t="s">
        <v>1</v>
      </c>
      <c r="J2" s="66"/>
      <c r="K2" s="66"/>
      <c r="L2" s="66"/>
      <c r="AA2" t="s">
        <v>3</v>
      </c>
    </row>
    <row r="3" spans="1:27" ht="16">
      <c r="D3" s="2"/>
      <c r="E3" s="2" t="s">
        <v>4</v>
      </c>
      <c r="F3" s="2"/>
      <c r="I3" s="65"/>
      <c r="J3" s="66"/>
      <c r="K3" s="66"/>
      <c r="L3" s="66"/>
      <c r="AA3" t="s">
        <v>5</v>
      </c>
    </row>
    <row r="4" spans="1:27" ht="16">
      <c r="D4" s="2"/>
      <c r="E4" s="2" t="s">
        <v>6</v>
      </c>
      <c r="F4" s="2"/>
      <c r="AA4" t="s">
        <v>7</v>
      </c>
    </row>
    <row r="5" spans="1:27" ht="16">
      <c r="D5" s="2"/>
      <c r="E5" s="2" t="s">
        <v>8</v>
      </c>
      <c r="F5" s="2"/>
      <c r="AA5" t="s">
        <v>9</v>
      </c>
    </row>
    <row r="6" spans="1:27" ht="16">
      <c r="A6" s="3"/>
      <c r="B6" s="3"/>
      <c r="C6" s="3"/>
      <c r="D6" s="4"/>
      <c r="E6" s="4"/>
      <c r="F6" s="4"/>
      <c r="G6" s="3"/>
      <c r="H6" s="3"/>
      <c r="I6" s="3"/>
      <c r="J6" s="3"/>
      <c r="K6" s="3"/>
      <c r="L6" s="3"/>
      <c r="AA6" t="s">
        <v>10</v>
      </c>
    </row>
    <row r="7" spans="1:27" ht="17" thickBot="1">
      <c r="A7" s="3"/>
      <c r="B7" s="3"/>
      <c r="C7" s="3"/>
      <c r="D7" s="3"/>
      <c r="E7" s="3"/>
      <c r="F7" s="3"/>
      <c r="G7" s="3"/>
      <c r="H7" s="3"/>
      <c r="I7" s="3"/>
      <c r="J7" s="3"/>
      <c r="K7" s="3"/>
      <c r="L7" s="3"/>
      <c r="AA7" t="s">
        <v>11</v>
      </c>
    </row>
    <row r="8" spans="1:27" ht="18" thickTop="1" thickBot="1">
      <c r="A8" s="3"/>
      <c r="B8" s="3"/>
      <c r="C8" s="59" t="s">
        <v>315</v>
      </c>
      <c r="D8" s="60"/>
      <c r="E8" s="60"/>
      <c r="F8" s="60"/>
      <c r="G8" s="61"/>
      <c r="H8" s="5"/>
      <c r="I8" s="5"/>
      <c r="J8" s="56">
        <v>29</v>
      </c>
      <c r="K8" s="58"/>
      <c r="L8" s="3"/>
      <c r="AA8" t="s">
        <v>13</v>
      </c>
    </row>
    <row r="9" spans="1:27" ht="18" thickTop="1" thickBot="1">
      <c r="A9" s="3"/>
      <c r="B9" s="3"/>
      <c r="C9" s="67" t="s">
        <v>337</v>
      </c>
      <c r="D9" s="67"/>
      <c r="E9" s="67"/>
      <c r="F9" s="67"/>
      <c r="G9" s="67"/>
      <c r="H9" s="67"/>
      <c r="I9" s="67"/>
      <c r="J9" s="67"/>
      <c r="K9" s="67"/>
      <c r="L9" s="3"/>
      <c r="AA9" t="s">
        <v>14</v>
      </c>
    </row>
    <row r="10" spans="1:27" ht="18" thickTop="1" thickBot="1">
      <c r="A10" s="3"/>
      <c r="B10" s="3"/>
      <c r="C10" s="55" t="s">
        <v>316</v>
      </c>
      <c r="D10" s="55"/>
      <c r="E10" s="55"/>
      <c r="F10" s="3"/>
      <c r="G10" s="5"/>
      <c r="H10" s="5"/>
      <c r="I10" s="56" t="s">
        <v>6</v>
      </c>
      <c r="J10" s="57"/>
      <c r="K10" s="58"/>
      <c r="L10" s="3"/>
      <c r="AA10" t="s">
        <v>15</v>
      </c>
    </row>
    <row r="11" spans="1:27" ht="18" thickTop="1" thickBot="1">
      <c r="A11" s="3"/>
      <c r="B11" s="3"/>
      <c r="C11" s="55" t="s">
        <v>339</v>
      </c>
      <c r="D11" s="55"/>
      <c r="E11" s="55"/>
      <c r="F11" s="5"/>
      <c r="G11" s="5"/>
      <c r="H11" s="6"/>
      <c r="I11" s="56"/>
      <c r="J11" s="57"/>
      <c r="K11" s="58"/>
      <c r="L11" s="3"/>
      <c r="AA11" t="s">
        <v>16</v>
      </c>
    </row>
    <row r="12" spans="1:27" ht="18" thickTop="1" thickBot="1">
      <c r="A12" s="3"/>
      <c r="B12" s="3"/>
      <c r="C12" s="59" t="s">
        <v>338</v>
      </c>
      <c r="D12" s="60"/>
      <c r="E12" s="60"/>
      <c r="F12" s="61"/>
      <c r="G12" s="3"/>
      <c r="H12" s="3"/>
      <c r="I12" s="7"/>
      <c r="J12" s="31">
        <v>8065958931</v>
      </c>
      <c r="K12" s="8"/>
      <c r="L12" s="3"/>
      <c r="O12" t="s">
        <v>17</v>
      </c>
      <c r="Q12" t="s">
        <v>18</v>
      </c>
      <c r="R12" t="s">
        <v>19</v>
      </c>
      <c r="S12" t="s">
        <v>20</v>
      </c>
      <c r="AA12" t="s">
        <v>21</v>
      </c>
    </row>
    <row r="13" spans="1:27" ht="18" thickTop="1" thickBot="1">
      <c r="A13" s="3"/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O13" t="s">
        <v>22</v>
      </c>
      <c r="Q13" t="s">
        <v>23</v>
      </c>
      <c r="R13" t="s">
        <v>24</v>
      </c>
      <c r="S13" t="s">
        <v>25</v>
      </c>
      <c r="T13" t="s">
        <v>26</v>
      </c>
      <c r="AA13" t="s">
        <v>27</v>
      </c>
    </row>
    <row r="14" spans="1:27" ht="18" thickTop="1" thickBot="1">
      <c r="A14" s="3"/>
      <c r="B14" s="3"/>
      <c r="C14" s="32" t="s">
        <v>317</v>
      </c>
      <c r="D14" s="3"/>
      <c r="E14" s="33" t="s">
        <v>17</v>
      </c>
      <c r="F14" s="3"/>
      <c r="G14" s="32">
        <v>900</v>
      </c>
      <c r="H14" s="3"/>
      <c r="I14" s="3"/>
      <c r="J14" s="32">
        <v>175</v>
      </c>
      <c r="K14" s="3"/>
      <c r="L14" s="3"/>
      <c r="O14" t="s">
        <v>28</v>
      </c>
      <c r="Q14" t="s">
        <v>29</v>
      </c>
      <c r="S14" t="s">
        <v>30</v>
      </c>
      <c r="T14" t="s">
        <v>6</v>
      </c>
      <c r="AA14" t="s">
        <v>31</v>
      </c>
    </row>
    <row r="15" spans="1:27" ht="18" thickTop="1" thickBot="1">
      <c r="A15" s="3"/>
      <c r="B15" s="3"/>
      <c r="C15" s="5"/>
      <c r="D15" s="3"/>
      <c r="E15" s="5"/>
      <c r="F15" s="3"/>
      <c r="G15" s="5"/>
      <c r="H15" s="3"/>
      <c r="I15" s="3"/>
      <c r="J15" s="5"/>
      <c r="K15" s="3"/>
      <c r="L15" s="3"/>
      <c r="O15" t="s">
        <v>32</v>
      </c>
      <c r="S15" t="s">
        <v>33</v>
      </c>
      <c r="AA15" t="s">
        <v>34</v>
      </c>
    </row>
    <row r="16" spans="1:27" ht="18.5" customHeight="1" thickTop="1" thickBot="1">
      <c r="A16" s="3"/>
      <c r="B16" s="3"/>
      <c r="C16" s="33" t="s">
        <v>18</v>
      </c>
      <c r="D16" s="3"/>
      <c r="E16" s="33" t="s">
        <v>19</v>
      </c>
      <c r="F16" s="3"/>
      <c r="G16" s="33" t="s">
        <v>20</v>
      </c>
      <c r="H16" s="3"/>
      <c r="I16" s="3"/>
      <c r="J16" s="32" t="s">
        <v>26</v>
      </c>
      <c r="K16" s="3"/>
      <c r="L16" s="3"/>
      <c r="S16" t="s">
        <v>35</v>
      </c>
      <c r="AA16" t="s">
        <v>36</v>
      </c>
    </row>
    <row r="17" spans="1:27" ht="17" thickTop="1">
      <c r="A17" s="3"/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S17" t="s">
        <v>37</v>
      </c>
      <c r="AA17" t="s">
        <v>38</v>
      </c>
    </row>
    <row r="18" spans="1:27" ht="17" thickBot="1">
      <c r="A18" s="3"/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AA18" t="s">
        <v>39</v>
      </c>
    </row>
    <row r="19" spans="1:27" ht="18" thickTop="1" thickBot="1">
      <c r="A19" s="3"/>
      <c r="B19" s="3"/>
      <c r="C19" s="33" t="s">
        <v>6</v>
      </c>
      <c r="D19" s="3"/>
      <c r="E19" s="33" t="s">
        <v>6</v>
      </c>
      <c r="F19" s="3"/>
      <c r="G19" s="3"/>
      <c r="H19" s="3"/>
      <c r="I19" s="33" t="s">
        <v>26</v>
      </c>
      <c r="J19" s="3"/>
      <c r="K19" s="3"/>
      <c r="L19" s="3"/>
      <c r="AA19" t="s">
        <v>40</v>
      </c>
    </row>
    <row r="20" spans="1:27" ht="17" thickTop="1">
      <c r="A20" s="3"/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AA20" t="s">
        <v>41</v>
      </c>
    </row>
    <row r="21" spans="1:27" ht="16">
      <c r="A21" s="3"/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AA21" t="s">
        <v>42</v>
      </c>
    </row>
    <row r="22" spans="1:27" ht="129.5" customHeight="1">
      <c r="A22" s="3"/>
      <c r="B22" s="62"/>
      <c r="C22" s="62"/>
      <c r="D22" s="62"/>
      <c r="E22" s="62"/>
      <c r="F22" s="62"/>
      <c r="G22" s="62"/>
      <c r="H22" s="62"/>
      <c r="I22" s="62"/>
      <c r="J22" s="62"/>
      <c r="K22" s="3"/>
      <c r="L22" s="3"/>
      <c r="AA22" t="s">
        <v>43</v>
      </c>
    </row>
    <row r="23" spans="1:27" ht="15.5" customHeight="1">
      <c r="A23" s="3"/>
      <c r="B23" s="62"/>
      <c r="C23" s="62"/>
      <c r="D23" s="62"/>
      <c r="E23" s="62"/>
      <c r="F23" s="62"/>
      <c r="G23" s="62"/>
      <c r="H23" s="62"/>
      <c r="I23" s="62"/>
      <c r="J23" s="62"/>
      <c r="K23" s="3"/>
      <c r="L23" s="3"/>
      <c r="AA23" t="s">
        <v>44</v>
      </c>
    </row>
    <row r="24" spans="1:27" ht="15.5" customHeight="1">
      <c r="A24" s="3"/>
      <c r="B24" s="62"/>
      <c r="C24" s="62"/>
      <c r="D24" s="62"/>
      <c r="E24" s="62"/>
      <c r="F24" s="62"/>
      <c r="G24" s="62"/>
      <c r="H24" s="62"/>
      <c r="I24" s="62"/>
      <c r="J24" s="62"/>
      <c r="K24" s="3"/>
      <c r="L24" s="3"/>
      <c r="AA24" t="s">
        <v>45</v>
      </c>
    </row>
    <row r="25" spans="1:27" ht="15.5" customHeight="1">
      <c r="A25" s="3"/>
      <c r="B25" s="62"/>
      <c r="C25" s="62"/>
      <c r="D25" s="62"/>
      <c r="E25" s="62"/>
      <c r="F25" s="62"/>
      <c r="G25" s="62"/>
      <c r="H25" s="62"/>
      <c r="I25" s="62"/>
      <c r="J25" s="62"/>
      <c r="K25" s="3"/>
      <c r="L25" s="3"/>
      <c r="AA25" t="s">
        <v>46</v>
      </c>
    </row>
    <row r="26" spans="1:27" ht="16">
      <c r="A26" s="3"/>
      <c r="B26" s="3"/>
      <c r="C26" s="3"/>
      <c r="D26" s="3"/>
      <c r="E26" s="3"/>
      <c r="F26" s="3"/>
      <c r="G26" s="3"/>
      <c r="H26" s="3"/>
      <c r="I26" s="3"/>
      <c r="J26" s="3"/>
      <c r="K26" s="3"/>
      <c r="L26" s="3"/>
      <c r="AA26" t="s">
        <v>47</v>
      </c>
    </row>
    <row r="27" spans="1:27" ht="16">
      <c r="A27" s="3"/>
      <c r="B27" s="3"/>
      <c r="C27" s="3"/>
      <c r="D27" s="3"/>
      <c r="E27" s="3"/>
      <c r="F27" s="3"/>
      <c r="G27" s="3"/>
      <c r="H27" s="3"/>
      <c r="I27" s="3"/>
      <c r="J27" s="3"/>
      <c r="K27" s="3"/>
      <c r="L27" s="3"/>
    </row>
    <row r="28" spans="1:27" ht="17" thickBot="1">
      <c r="A28" s="3"/>
      <c r="B28" s="3"/>
      <c r="C28" s="3"/>
      <c r="D28" s="3"/>
      <c r="E28" s="3"/>
      <c r="F28" s="3"/>
      <c r="G28" s="3"/>
      <c r="H28" s="3"/>
      <c r="I28" s="3"/>
      <c r="J28" s="3"/>
      <c r="K28" s="3"/>
      <c r="L28" s="3"/>
      <c r="O28" t="s">
        <v>48</v>
      </c>
      <c r="P28" t="s">
        <v>49</v>
      </c>
      <c r="Q28" t="s">
        <v>50</v>
      </c>
      <c r="R28" t="s">
        <v>51</v>
      </c>
      <c r="S28" t="s">
        <v>52</v>
      </c>
    </row>
    <row r="29" spans="1:27" ht="18" thickTop="1" thickBot="1">
      <c r="A29" s="3"/>
      <c r="B29" s="3"/>
      <c r="C29" s="33" t="s">
        <v>53</v>
      </c>
      <c r="D29" s="3"/>
      <c r="E29" s="3"/>
      <c r="F29" s="3"/>
      <c r="G29" s="3"/>
      <c r="H29" s="3"/>
      <c r="I29" s="33" t="s">
        <v>49</v>
      </c>
      <c r="J29" s="3"/>
      <c r="K29" s="3"/>
      <c r="L29" s="3"/>
      <c r="O29" t="s">
        <v>53</v>
      </c>
      <c r="P29" t="s">
        <v>54</v>
      </c>
      <c r="Q29" t="s">
        <v>55</v>
      </c>
      <c r="R29" t="s">
        <v>56</v>
      </c>
      <c r="S29" t="s">
        <v>57</v>
      </c>
    </row>
    <row r="30" spans="1:27" ht="17" thickTop="1">
      <c r="A30" s="3"/>
      <c r="B30" s="3"/>
      <c r="C30" s="3"/>
      <c r="D30" s="3"/>
      <c r="E30" s="3"/>
      <c r="F30" s="3"/>
      <c r="G30" s="3"/>
      <c r="H30" s="3"/>
      <c r="I30" s="3"/>
      <c r="J30" s="3"/>
      <c r="K30" s="3"/>
      <c r="L30" s="3"/>
      <c r="O30" t="s">
        <v>58</v>
      </c>
      <c r="P30" t="s">
        <v>59</v>
      </c>
      <c r="Q30" t="s">
        <v>60</v>
      </c>
      <c r="R30" t="s">
        <v>61</v>
      </c>
      <c r="S30" t="s">
        <v>62</v>
      </c>
    </row>
    <row r="31" spans="1:27" ht="17" thickBot="1">
      <c r="A31" s="3"/>
      <c r="B31" s="3"/>
      <c r="C31" s="3"/>
      <c r="D31" s="3"/>
      <c r="E31" s="3"/>
      <c r="F31" s="3"/>
      <c r="G31" s="3"/>
      <c r="H31" s="3"/>
      <c r="I31" s="3"/>
      <c r="J31" s="3"/>
      <c r="K31" s="3"/>
      <c r="L31" s="3"/>
      <c r="O31" t="s">
        <v>63</v>
      </c>
      <c r="P31" t="s">
        <v>64</v>
      </c>
      <c r="Q31" t="s">
        <v>65</v>
      </c>
      <c r="R31" t="s">
        <v>66</v>
      </c>
      <c r="S31" t="s">
        <v>67</v>
      </c>
    </row>
    <row r="32" spans="1:27" ht="18" thickTop="1" thickBot="1">
      <c r="A32" s="3"/>
      <c r="B32" s="3"/>
      <c r="C32" s="33" t="s">
        <v>85</v>
      </c>
      <c r="D32" s="3"/>
      <c r="E32" s="33" t="s">
        <v>52</v>
      </c>
      <c r="F32" s="3"/>
      <c r="G32" s="33" t="s">
        <v>50</v>
      </c>
      <c r="H32" s="3"/>
      <c r="I32" s="3"/>
      <c r="J32" s="33">
        <v>1663</v>
      </c>
      <c r="K32" s="3"/>
      <c r="L32" s="3"/>
      <c r="O32" t="s">
        <v>68</v>
      </c>
      <c r="R32" t="s">
        <v>69</v>
      </c>
      <c r="S32" t="s">
        <v>70</v>
      </c>
    </row>
    <row r="33" spans="1:19" ht="18" thickTop="1" thickBot="1">
      <c r="A33" s="3"/>
      <c r="B33" s="3"/>
      <c r="C33" s="33" t="s">
        <v>82</v>
      </c>
      <c r="D33" s="3"/>
      <c r="E33" s="33" t="s">
        <v>52</v>
      </c>
      <c r="F33" s="3"/>
      <c r="G33" s="33" t="s">
        <v>50</v>
      </c>
      <c r="H33" s="3"/>
      <c r="I33" s="3"/>
      <c r="J33" s="33">
        <v>1241</v>
      </c>
      <c r="K33" s="3"/>
      <c r="L33" s="3"/>
      <c r="R33" t="s">
        <v>71</v>
      </c>
      <c r="S33" t="s">
        <v>72</v>
      </c>
    </row>
    <row r="34" spans="1:19" ht="18" thickTop="1" thickBot="1">
      <c r="A34" s="3"/>
      <c r="B34" s="3"/>
      <c r="C34" s="33"/>
      <c r="D34" s="3"/>
      <c r="E34" s="33"/>
      <c r="F34" s="3"/>
      <c r="G34" s="33"/>
      <c r="H34" s="3"/>
      <c r="I34" s="3"/>
      <c r="J34" s="33"/>
      <c r="K34" s="3"/>
      <c r="L34" s="3"/>
      <c r="R34" t="s">
        <v>73</v>
      </c>
      <c r="S34" t="s">
        <v>74</v>
      </c>
    </row>
    <row r="35" spans="1:19" ht="18" thickTop="1" thickBot="1">
      <c r="A35" s="3"/>
      <c r="B35" s="3"/>
      <c r="C35" s="33"/>
      <c r="D35" s="3"/>
      <c r="E35" s="33"/>
      <c r="F35" s="3"/>
      <c r="G35" s="33"/>
      <c r="H35" s="3"/>
      <c r="I35" s="3"/>
      <c r="J35" s="33"/>
      <c r="K35" s="3"/>
      <c r="L35" s="3"/>
      <c r="R35" t="s">
        <v>75</v>
      </c>
      <c r="S35" t="s">
        <v>76</v>
      </c>
    </row>
    <row r="36" spans="1:19" ht="18" thickTop="1" thickBot="1">
      <c r="A36" s="3"/>
      <c r="B36" s="3"/>
      <c r="C36" s="33"/>
      <c r="D36" s="3"/>
      <c r="E36" s="33"/>
      <c r="F36" s="3"/>
      <c r="G36" s="33"/>
      <c r="H36" s="3"/>
      <c r="I36" s="3"/>
      <c r="J36" s="33"/>
      <c r="K36" s="3"/>
      <c r="L36" s="3"/>
      <c r="R36" t="s">
        <v>77</v>
      </c>
    </row>
    <row r="37" spans="1:19" ht="18" thickTop="1" thickBot="1">
      <c r="A37" s="3"/>
      <c r="B37" s="3"/>
      <c r="C37" s="3"/>
      <c r="D37" s="3"/>
      <c r="E37" s="3"/>
      <c r="F37" s="3"/>
      <c r="G37" s="3"/>
      <c r="H37" s="3"/>
      <c r="I37" s="3"/>
      <c r="J37" s="3"/>
      <c r="K37" s="3"/>
      <c r="L37" s="3"/>
      <c r="R37" t="s">
        <v>78</v>
      </c>
    </row>
    <row r="38" spans="1:19" ht="18" thickTop="1" thickBot="1">
      <c r="A38" s="3"/>
      <c r="B38" s="3"/>
      <c r="C38" s="34" t="s">
        <v>6</v>
      </c>
      <c r="D38" s="3"/>
      <c r="E38" s="3"/>
      <c r="F38" s="34" t="s">
        <v>6</v>
      </c>
      <c r="G38" s="3"/>
      <c r="H38" s="3"/>
      <c r="I38" s="3"/>
      <c r="J38" s="34">
        <v>1663</v>
      </c>
      <c r="K38" s="3"/>
      <c r="L38" s="3"/>
      <c r="R38" t="s">
        <v>79</v>
      </c>
    </row>
    <row r="39" spans="1:19" ht="17" thickTop="1">
      <c r="A39" s="3"/>
      <c r="B39" s="3"/>
      <c r="C39" s="3"/>
      <c r="D39" s="3"/>
      <c r="E39" s="3"/>
      <c r="F39" s="3"/>
      <c r="G39" s="3"/>
      <c r="H39" s="3"/>
      <c r="I39" s="3"/>
      <c r="J39" s="3"/>
      <c r="K39" s="3"/>
      <c r="L39" s="3"/>
      <c r="R39" t="s">
        <v>80</v>
      </c>
    </row>
    <row r="40" spans="1:19" ht="16">
      <c r="A40" s="3"/>
      <c r="B40" s="3"/>
      <c r="C40" s="3"/>
      <c r="D40" s="3"/>
      <c r="E40" s="3"/>
      <c r="F40" s="3"/>
      <c r="G40" s="3"/>
      <c r="H40" s="3"/>
      <c r="I40" s="3"/>
      <c r="J40" s="3"/>
      <c r="K40" s="3"/>
      <c r="L40" s="3"/>
      <c r="R40" t="s">
        <v>81</v>
      </c>
    </row>
    <row r="41" spans="1:19" ht="16">
      <c r="A41" s="3"/>
      <c r="B41" s="3"/>
      <c r="C41" s="3"/>
      <c r="D41" s="3"/>
      <c r="E41" s="3"/>
      <c r="F41" s="3"/>
      <c r="G41" s="3"/>
      <c r="H41" s="3"/>
      <c r="I41" s="3"/>
      <c r="J41" s="3"/>
      <c r="K41" s="3"/>
      <c r="L41" s="3"/>
      <c r="R41" t="s">
        <v>82</v>
      </c>
    </row>
    <row r="42" spans="1:19" ht="16">
      <c r="A42" s="3"/>
      <c r="B42" s="3"/>
      <c r="C42" s="3"/>
      <c r="D42" s="3"/>
      <c r="E42" s="3"/>
      <c r="F42" s="3"/>
      <c r="G42" s="3"/>
      <c r="H42" s="3"/>
      <c r="I42" s="3"/>
      <c r="J42" s="3"/>
      <c r="K42" s="3"/>
      <c r="L42" s="3"/>
      <c r="R42" t="s">
        <v>83</v>
      </c>
    </row>
    <row r="43" spans="1:19" ht="16">
      <c r="A43" s="3"/>
      <c r="B43" s="3"/>
      <c r="C43" s="3"/>
      <c r="D43" s="3"/>
      <c r="E43" s="3"/>
      <c r="F43" s="3"/>
      <c r="G43" s="3"/>
      <c r="H43" s="3"/>
      <c r="I43" s="3"/>
      <c r="J43" s="3"/>
      <c r="K43" s="3"/>
      <c r="L43" s="3"/>
      <c r="R43" t="s">
        <v>84</v>
      </c>
    </row>
    <row r="44" spans="1:19" ht="16">
      <c r="A44" s="3"/>
      <c r="B44" s="3"/>
      <c r="C44" s="3"/>
      <c r="D44" s="3"/>
      <c r="E44" s="3"/>
      <c r="F44" s="3"/>
      <c r="G44" s="3"/>
      <c r="H44" s="3"/>
      <c r="I44" s="3"/>
      <c r="J44" s="3"/>
      <c r="K44" s="3"/>
      <c r="L44" s="3"/>
      <c r="R44" t="s">
        <v>85</v>
      </c>
    </row>
    <row r="45" spans="1:19" ht="16">
      <c r="A45" s="3"/>
      <c r="B45" s="3"/>
      <c r="C45" s="3"/>
      <c r="D45" s="3"/>
      <c r="E45" s="3"/>
      <c r="F45" s="3"/>
      <c r="G45" s="3"/>
      <c r="H45" s="3"/>
      <c r="I45" s="3"/>
      <c r="J45" s="3"/>
      <c r="K45" s="3"/>
      <c r="L45" s="3"/>
      <c r="R45" t="s">
        <v>86</v>
      </c>
    </row>
    <row r="46" spans="1:19" ht="16">
      <c r="A46" s="3"/>
      <c r="B46" s="3"/>
      <c r="C46" s="3"/>
      <c r="D46" s="3"/>
      <c r="E46" s="3"/>
      <c r="F46" s="3"/>
      <c r="G46" s="3"/>
      <c r="H46" s="3"/>
      <c r="I46" s="3"/>
      <c r="J46" s="3"/>
      <c r="K46" s="3"/>
      <c r="L46" s="3"/>
      <c r="R46" t="s">
        <v>87</v>
      </c>
    </row>
    <row r="47" spans="1:19" ht="16">
      <c r="A47" s="3"/>
      <c r="B47" s="3"/>
      <c r="C47" s="3"/>
      <c r="D47" s="3"/>
      <c r="E47" s="3"/>
      <c r="F47" s="3"/>
      <c r="G47" s="3"/>
      <c r="H47" s="3"/>
      <c r="I47" s="3"/>
      <c r="J47" s="3"/>
      <c r="K47" s="3"/>
      <c r="L47" s="3"/>
      <c r="R47" t="s">
        <v>88</v>
      </c>
    </row>
    <row r="48" spans="1:19" ht="16">
      <c r="A48" s="3"/>
      <c r="B48" s="3"/>
      <c r="C48" s="3"/>
      <c r="D48" s="3"/>
      <c r="E48" s="3"/>
      <c r="F48" s="3"/>
      <c r="G48" s="3"/>
      <c r="H48" s="3"/>
      <c r="I48" s="3"/>
      <c r="J48" s="3"/>
      <c r="K48" s="3"/>
      <c r="L48" s="3"/>
      <c r="R48" t="s">
        <v>89</v>
      </c>
    </row>
    <row r="49" spans="1:18" ht="17" thickBot="1">
      <c r="A49" s="3"/>
      <c r="B49" s="3"/>
      <c r="C49" s="3"/>
      <c r="D49" s="3"/>
      <c r="E49" s="3"/>
      <c r="F49" s="3"/>
      <c r="G49" s="3"/>
      <c r="H49" s="3"/>
      <c r="I49" s="3"/>
      <c r="J49" s="3"/>
      <c r="K49" s="3"/>
      <c r="L49" s="3"/>
      <c r="R49" t="s">
        <v>90</v>
      </c>
    </row>
    <row r="50" spans="1:18" ht="18" thickTop="1" thickBot="1">
      <c r="A50" s="3"/>
      <c r="B50" s="3"/>
      <c r="C50" s="33" t="s">
        <v>53</v>
      </c>
      <c r="D50" s="3"/>
      <c r="E50" s="3"/>
      <c r="F50" s="3"/>
      <c r="G50" s="3"/>
      <c r="H50" s="3"/>
      <c r="I50" s="9" t="s">
        <v>49</v>
      </c>
      <c r="J50" s="3"/>
      <c r="K50" s="3"/>
      <c r="L50" s="3"/>
      <c r="R50" t="s">
        <v>91</v>
      </c>
    </row>
    <row r="51" spans="1:18" ht="17" thickTop="1">
      <c r="A51" s="3"/>
      <c r="B51" s="3"/>
      <c r="C51" s="3"/>
      <c r="D51" s="3"/>
      <c r="E51" s="3"/>
      <c r="F51" s="3"/>
      <c r="G51" s="3"/>
      <c r="H51" s="3"/>
      <c r="I51" s="3"/>
      <c r="J51" s="3"/>
      <c r="K51" s="3"/>
      <c r="L51" s="3"/>
    </row>
    <row r="52" spans="1:18" ht="17" thickBot="1">
      <c r="A52" s="3"/>
      <c r="B52" s="3"/>
      <c r="C52" s="3"/>
      <c r="D52" s="3"/>
      <c r="E52" s="3"/>
      <c r="F52" s="3"/>
      <c r="G52" s="3"/>
      <c r="H52" s="3"/>
      <c r="I52" s="3"/>
      <c r="J52" s="3"/>
      <c r="K52" s="3"/>
      <c r="L52" s="3"/>
    </row>
    <row r="53" spans="1:18" ht="18" thickTop="1" thickBot="1">
      <c r="A53" s="3"/>
      <c r="B53" s="3"/>
      <c r="C53" s="33" t="s">
        <v>85</v>
      </c>
      <c r="D53" s="3"/>
      <c r="E53" s="10" t="s">
        <v>318</v>
      </c>
      <c r="F53" s="3"/>
      <c r="G53" s="10" t="s">
        <v>319</v>
      </c>
      <c r="H53" s="3"/>
      <c r="I53" s="3"/>
      <c r="J53" s="10">
        <v>1663</v>
      </c>
      <c r="K53" s="3"/>
      <c r="L53" s="3"/>
    </row>
    <row r="54" spans="1:18" ht="18" thickTop="1" thickBot="1">
      <c r="A54" s="3"/>
      <c r="B54" s="3"/>
      <c r="C54" s="33" t="s">
        <v>82</v>
      </c>
      <c r="D54" s="3"/>
      <c r="E54" s="10" t="s">
        <v>318</v>
      </c>
      <c r="F54" s="3"/>
      <c r="G54" s="10" t="s">
        <v>319</v>
      </c>
      <c r="H54" s="3"/>
      <c r="I54" s="3"/>
      <c r="J54" s="10">
        <v>1241</v>
      </c>
      <c r="K54" s="3"/>
      <c r="L54" s="3"/>
    </row>
    <row r="55" spans="1:18" ht="18" thickTop="1" thickBot="1">
      <c r="A55" s="3"/>
      <c r="B55" s="3"/>
      <c r="C55" s="33"/>
      <c r="D55" s="3"/>
      <c r="E55" s="10"/>
      <c r="F55" s="3"/>
      <c r="G55" s="10"/>
      <c r="H55" s="3"/>
      <c r="I55" s="3"/>
      <c r="J55" s="10"/>
      <c r="K55" s="3"/>
      <c r="L55" s="3"/>
    </row>
    <row r="56" spans="1:18" ht="18" thickTop="1" thickBot="1">
      <c r="A56" s="3"/>
      <c r="B56" s="3"/>
      <c r="C56" s="3"/>
      <c r="D56" s="3"/>
      <c r="E56" s="3"/>
      <c r="F56" s="3"/>
      <c r="G56" s="3"/>
      <c r="H56" s="3"/>
      <c r="I56" s="3"/>
      <c r="J56" s="3"/>
      <c r="K56" s="3"/>
      <c r="L56" s="3"/>
    </row>
    <row r="57" spans="1:18" ht="18" thickTop="1" thickBot="1">
      <c r="A57" s="3"/>
      <c r="B57" s="3"/>
      <c r="C57" s="34" t="s">
        <v>6</v>
      </c>
      <c r="D57" s="3"/>
      <c r="E57" s="3"/>
      <c r="F57" s="34" t="s">
        <v>6</v>
      </c>
      <c r="G57" s="3"/>
      <c r="H57" s="3"/>
      <c r="I57" s="3"/>
      <c r="J57" s="34">
        <v>1663</v>
      </c>
      <c r="K57" s="3"/>
      <c r="L57" s="3"/>
    </row>
    <row r="58" spans="1:18" ht="17" thickTop="1">
      <c r="A58" s="3"/>
      <c r="B58" s="3"/>
      <c r="C58" s="3"/>
      <c r="D58" s="3"/>
      <c r="E58" s="3"/>
      <c r="F58" s="3"/>
      <c r="G58" s="3"/>
      <c r="H58" s="3"/>
      <c r="I58" s="3"/>
      <c r="J58" s="3"/>
      <c r="K58" s="3"/>
      <c r="L58" s="3"/>
    </row>
    <row r="59" spans="1:18" ht="16">
      <c r="A59" s="3"/>
      <c r="B59" s="3"/>
      <c r="C59" s="3"/>
      <c r="D59" s="3"/>
      <c r="E59" s="3"/>
      <c r="F59" s="3"/>
      <c r="G59" s="3"/>
      <c r="H59" s="3"/>
      <c r="I59" s="3"/>
      <c r="J59" s="3"/>
      <c r="K59" s="3"/>
      <c r="L59" s="3"/>
    </row>
    <row r="60" spans="1:18" ht="16">
      <c r="A60" s="3"/>
      <c r="B60" s="3"/>
      <c r="C60" s="3"/>
      <c r="D60" s="3"/>
      <c r="E60" s="3"/>
      <c r="F60" s="3"/>
      <c r="G60" s="3"/>
      <c r="H60" s="3"/>
      <c r="I60" s="3"/>
      <c r="J60" s="3"/>
      <c r="K60" s="3"/>
      <c r="L60" s="3"/>
    </row>
    <row r="61" spans="1:18" ht="16">
      <c r="A61" s="3"/>
      <c r="B61" s="3"/>
      <c r="C61" s="3"/>
      <c r="D61" s="3"/>
      <c r="E61" s="3"/>
      <c r="F61" s="3"/>
      <c r="G61" s="3"/>
      <c r="H61" s="3"/>
      <c r="I61" s="3"/>
      <c r="J61" s="3"/>
      <c r="K61" s="3"/>
      <c r="L61" s="3"/>
    </row>
    <row r="62" spans="1:18" ht="16">
      <c r="A62" s="3"/>
      <c r="B62" s="3"/>
      <c r="C62" s="3"/>
      <c r="D62" s="3"/>
      <c r="E62" s="3"/>
      <c r="F62" s="3"/>
      <c r="G62" s="3"/>
      <c r="H62" s="3"/>
      <c r="I62" s="3"/>
      <c r="J62" s="3"/>
      <c r="K62" s="3"/>
      <c r="L62" s="3"/>
    </row>
    <row r="63" spans="1:18" ht="17" thickBot="1">
      <c r="A63" s="3"/>
      <c r="B63" s="3"/>
      <c r="C63" s="3"/>
      <c r="D63" s="3"/>
      <c r="E63" s="3"/>
      <c r="F63" s="3"/>
      <c r="G63" s="3"/>
      <c r="H63" s="3"/>
      <c r="I63" s="3"/>
      <c r="J63" s="3"/>
      <c r="K63" s="3"/>
      <c r="L63" s="3"/>
    </row>
    <row r="64" spans="1:18" ht="18" thickTop="1" thickBot="1">
      <c r="A64" s="3"/>
      <c r="B64" s="35" t="s">
        <v>325</v>
      </c>
      <c r="C64" s="36">
        <v>1000</v>
      </c>
      <c r="D64" s="3"/>
      <c r="E64" s="36">
        <v>2000</v>
      </c>
      <c r="F64" s="3"/>
      <c r="G64" s="37">
        <v>900</v>
      </c>
      <c r="H64" s="3"/>
      <c r="I64" s="63">
        <f>IF(OR(E64="",G64=""),"",E64*G64)</f>
        <v>1800000</v>
      </c>
      <c r="J64" s="64"/>
      <c r="K64" s="3"/>
      <c r="L64" s="3"/>
    </row>
    <row r="65" spans="1:12" ht="18" thickTop="1" thickBot="1">
      <c r="A65" s="3"/>
      <c r="B65" s="35" t="s">
        <v>320</v>
      </c>
      <c r="C65" s="36">
        <v>1000</v>
      </c>
      <c r="D65" s="3"/>
      <c r="E65" s="36">
        <v>1000</v>
      </c>
      <c r="F65" s="3"/>
      <c r="G65" s="37">
        <v>900</v>
      </c>
      <c r="H65" s="3"/>
      <c r="I65" s="63">
        <f t="shared" ref="I65:I69" si="0">IF(OR(E65="",G65=""),"",E65*G65)</f>
        <v>900000</v>
      </c>
      <c r="J65" s="64"/>
      <c r="K65" s="3"/>
      <c r="L65" s="3"/>
    </row>
    <row r="66" spans="1:12" ht="18" thickTop="1" thickBot="1">
      <c r="A66" s="3"/>
      <c r="B66" s="35" t="s">
        <v>321</v>
      </c>
      <c r="C66" s="36">
        <v>4000</v>
      </c>
      <c r="D66" s="3"/>
      <c r="E66" s="36">
        <v>4000</v>
      </c>
      <c r="F66" s="3"/>
      <c r="G66" s="37">
        <v>950</v>
      </c>
      <c r="H66" s="3"/>
      <c r="I66" s="63">
        <f t="shared" si="0"/>
        <v>3800000</v>
      </c>
      <c r="J66" s="64"/>
      <c r="K66" s="3"/>
      <c r="L66" s="3"/>
    </row>
    <row r="67" spans="1:12" ht="18" thickTop="1" thickBot="1">
      <c r="A67" s="3"/>
      <c r="B67" s="35" t="s">
        <v>322</v>
      </c>
      <c r="C67" s="36">
        <v>2000</v>
      </c>
      <c r="D67" s="3"/>
      <c r="E67" s="36">
        <v>2000</v>
      </c>
      <c r="F67" s="3"/>
      <c r="G67" s="37">
        <v>960</v>
      </c>
      <c r="H67" s="3"/>
      <c r="I67" s="63">
        <f t="shared" si="0"/>
        <v>1920000</v>
      </c>
      <c r="J67" s="64"/>
      <c r="K67" s="3"/>
      <c r="L67" s="3"/>
    </row>
    <row r="68" spans="1:12" ht="18" thickTop="1" thickBot="1">
      <c r="A68" s="3"/>
      <c r="B68" s="35" t="s">
        <v>323</v>
      </c>
      <c r="C68" s="36">
        <v>1500</v>
      </c>
      <c r="D68" s="3"/>
      <c r="E68" s="36">
        <v>1500</v>
      </c>
      <c r="F68" s="3"/>
      <c r="G68" s="37">
        <v>970</v>
      </c>
      <c r="H68" s="3"/>
      <c r="I68" s="63">
        <f t="shared" si="0"/>
        <v>1455000</v>
      </c>
      <c r="J68" s="64"/>
      <c r="K68" s="3"/>
      <c r="L68" s="3"/>
    </row>
    <row r="69" spans="1:12" ht="18" thickTop="1" thickBot="1">
      <c r="A69" s="3"/>
      <c r="B69" s="35" t="s">
        <v>324</v>
      </c>
      <c r="C69" s="36">
        <v>1000</v>
      </c>
      <c r="D69" s="3"/>
      <c r="E69" s="36">
        <v>1000</v>
      </c>
      <c r="F69" s="3"/>
      <c r="G69" s="37">
        <v>985</v>
      </c>
      <c r="H69" s="3"/>
      <c r="I69" s="63">
        <f t="shared" si="0"/>
        <v>985000</v>
      </c>
      <c r="J69" s="64"/>
      <c r="K69" s="3"/>
      <c r="L69" s="3"/>
    </row>
    <row r="70" spans="1:12" ht="18" thickTop="1" thickBot="1">
      <c r="A70" s="3"/>
      <c r="B70" s="3"/>
      <c r="C70" s="3"/>
      <c r="D70" s="3"/>
      <c r="E70" s="3"/>
      <c r="F70" s="3"/>
      <c r="G70" s="3"/>
      <c r="H70" s="3"/>
      <c r="I70" s="3"/>
      <c r="J70" s="3"/>
      <c r="K70" s="3"/>
      <c r="L70" s="3"/>
    </row>
    <row r="71" spans="1:12" ht="18" thickTop="1" thickBot="1">
      <c r="A71" s="3"/>
      <c r="B71" s="3" t="s">
        <v>92</v>
      </c>
      <c r="C71" s="11">
        <f>IF(AND(C64="",C65="",C66="",C67="",C68="",C69=""),"",SUM(C64:C69)/(IF(C64="",0,1)+IF(C65="",0,1)+IF(C66="",0,1)+IF(C67="",0,1)+IF(C68="",0,1)+IF(C69="",0,1)))</f>
        <v>1750</v>
      </c>
      <c r="D71" s="3"/>
      <c r="E71" s="11">
        <f>IF(AND(E64="",E65="",E66="",E67="",E68="",E69=""),"",SUM(E64:E69)/(IF(E64="",0,1)+IF(E65="",0,1)+IF(E66="",0,1)+IF(E67="",0,1)+IF(E68="",0,1)+IF(E69="",0,1)))</f>
        <v>1916.6666666666667</v>
      </c>
      <c r="F71" s="3"/>
      <c r="G71" s="12">
        <f>IF(AND(G64="",G65="",G66="",G67="",G68="",G69=""),"",SUM(G64:G69)/(IF(G64="",0,1)+IF(G65="",0,1)+IF(G66="",0,1)+IF(G67="",0,1)+IF(G68="",0,1)+IF(G69="",0,1)))</f>
        <v>944.16666666666663</v>
      </c>
      <c r="H71" s="3"/>
      <c r="I71" s="72">
        <f>IF(AND(I64="",I65="",I66="",I67="",I68="",I69=""),"",AVERAGE(I64:J69))</f>
        <v>1810000</v>
      </c>
      <c r="J71" s="73"/>
      <c r="K71" s="3"/>
      <c r="L71" s="3"/>
    </row>
    <row r="72" spans="1:12" ht="17" thickTop="1">
      <c r="A72" s="3"/>
      <c r="B72" s="3"/>
      <c r="C72" s="3"/>
      <c r="D72" s="3"/>
      <c r="E72" s="3"/>
      <c r="F72" s="3"/>
      <c r="G72" s="3"/>
      <c r="H72" s="3"/>
      <c r="I72" s="3"/>
      <c r="J72" s="3"/>
      <c r="K72" s="3"/>
      <c r="L72" s="3"/>
    </row>
    <row r="73" spans="1:12" ht="16">
      <c r="A73" s="3"/>
      <c r="B73" s="3"/>
      <c r="C73" s="3"/>
      <c r="D73" s="3"/>
      <c r="E73" s="3"/>
      <c r="F73" s="3"/>
      <c r="G73" s="3"/>
      <c r="H73" s="3"/>
      <c r="I73" s="3"/>
      <c r="J73" s="3"/>
      <c r="K73" s="3"/>
      <c r="L73" s="3"/>
    </row>
    <row r="74" spans="1:12" ht="16">
      <c r="A74" s="3"/>
      <c r="B74" s="3"/>
      <c r="C74" s="3"/>
      <c r="D74" s="3"/>
      <c r="E74" s="3"/>
      <c r="F74" s="3"/>
      <c r="G74" s="3"/>
      <c r="H74" s="3"/>
      <c r="I74" s="3"/>
      <c r="J74" s="3"/>
      <c r="K74" s="3"/>
      <c r="L74" s="3"/>
    </row>
    <row r="75" spans="1:12" ht="17" thickBot="1">
      <c r="A75" s="3"/>
      <c r="B75" s="3"/>
      <c r="C75" s="3"/>
      <c r="D75" s="3"/>
      <c r="E75" s="3"/>
      <c r="F75" s="3"/>
      <c r="G75" s="3"/>
      <c r="H75" s="3"/>
      <c r="I75" s="3"/>
      <c r="J75" s="3"/>
      <c r="K75" s="3"/>
      <c r="L75" s="3"/>
    </row>
    <row r="76" spans="1:12" ht="18" thickTop="1" thickBot="1">
      <c r="A76" s="3"/>
      <c r="B76" s="35" t="s">
        <v>325</v>
      </c>
      <c r="C76" s="38">
        <v>2568</v>
      </c>
      <c r="D76" s="13"/>
      <c r="E76" s="39">
        <v>209.5</v>
      </c>
      <c r="F76" s="3"/>
      <c r="G76" s="14">
        <f t="shared" ref="G76:G80" si="1">IF(AND(C76="",E76=""),"",C76*E76)</f>
        <v>537996</v>
      </c>
      <c r="H76" s="3"/>
      <c r="I76" s="68">
        <v>578345.69999999995</v>
      </c>
      <c r="J76" s="69"/>
      <c r="K76" s="3"/>
      <c r="L76" s="3"/>
    </row>
    <row r="77" spans="1:12" ht="18" thickTop="1" thickBot="1">
      <c r="A77" s="3"/>
      <c r="B77" s="35" t="s">
        <v>320</v>
      </c>
      <c r="C77" s="38">
        <v>2543</v>
      </c>
      <c r="D77" s="13"/>
      <c r="E77" s="39">
        <v>208.5</v>
      </c>
      <c r="F77" s="3"/>
      <c r="G77" s="14">
        <f t="shared" si="1"/>
        <v>530215.5</v>
      </c>
      <c r="H77" s="3"/>
      <c r="I77" s="68">
        <v>576345.69999999995</v>
      </c>
      <c r="J77" s="69"/>
      <c r="K77" s="3"/>
      <c r="L77" s="3"/>
    </row>
    <row r="78" spans="1:12" ht="18" thickTop="1" thickBot="1">
      <c r="A78" s="3"/>
      <c r="B78" s="35" t="s">
        <v>321</v>
      </c>
      <c r="C78" s="38">
        <v>3684</v>
      </c>
      <c r="D78" s="13"/>
      <c r="E78" s="39">
        <v>209.5</v>
      </c>
      <c r="F78" s="3"/>
      <c r="G78" s="14">
        <f t="shared" si="1"/>
        <v>771798</v>
      </c>
      <c r="H78" s="3"/>
      <c r="I78" s="68">
        <v>574381.69999999995</v>
      </c>
      <c r="J78" s="69"/>
      <c r="K78" s="3"/>
      <c r="L78" s="3"/>
    </row>
    <row r="79" spans="1:12" ht="18" thickTop="1" thickBot="1">
      <c r="A79" s="3"/>
      <c r="B79" s="35" t="s">
        <v>322</v>
      </c>
      <c r="C79" s="38">
        <v>2489</v>
      </c>
      <c r="D79" s="13"/>
      <c r="E79" s="39">
        <v>208.5</v>
      </c>
      <c r="F79" s="3"/>
      <c r="G79" s="14">
        <f t="shared" si="1"/>
        <v>518956.5</v>
      </c>
      <c r="H79" s="3"/>
      <c r="I79" s="68">
        <v>537355.69999999995</v>
      </c>
      <c r="J79" s="69"/>
      <c r="K79" s="3"/>
      <c r="L79" s="3"/>
    </row>
    <row r="80" spans="1:12" ht="18" thickTop="1" thickBot="1">
      <c r="A80" s="3"/>
      <c r="B80" s="35" t="s">
        <v>323</v>
      </c>
      <c r="C80" s="38">
        <v>2783</v>
      </c>
      <c r="D80" s="13"/>
      <c r="E80" s="39">
        <v>209.5</v>
      </c>
      <c r="F80" s="3"/>
      <c r="G80" s="14">
        <f t="shared" si="1"/>
        <v>583038.5</v>
      </c>
      <c r="H80" s="3"/>
      <c r="I80" s="68">
        <v>581341.69999999995</v>
      </c>
      <c r="J80" s="69"/>
      <c r="K80" s="3"/>
      <c r="L80" s="3"/>
    </row>
    <row r="81" spans="1:12" ht="18" thickTop="1" thickBot="1">
      <c r="A81" s="3"/>
      <c r="B81" s="35" t="s">
        <v>324</v>
      </c>
      <c r="C81" s="38">
        <v>3401</v>
      </c>
      <c r="D81" s="13"/>
      <c r="E81" s="39">
        <v>208.5</v>
      </c>
      <c r="F81" s="3"/>
      <c r="G81" s="14">
        <f>IF(AND(C81="",E81=""),"",C81*E81)</f>
        <v>709108.5</v>
      </c>
      <c r="H81" s="3"/>
      <c r="I81" s="68">
        <v>572344.69999999995</v>
      </c>
      <c r="J81" s="69"/>
      <c r="K81" s="3"/>
      <c r="L81" s="3"/>
    </row>
    <row r="82" spans="1:12" ht="18" thickTop="1" thickBot="1">
      <c r="A82" s="3"/>
      <c r="B82" s="13"/>
      <c r="C82" s="13"/>
      <c r="D82" s="13"/>
      <c r="E82" s="13"/>
      <c r="F82" s="3"/>
      <c r="G82" s="3"/>
      <c r="H82" s="3"/>
      <c r="I82" s="3"/>
      <c r="J82" s="3"/>
      <c r="K82" s="3"/>
      <c r="L82" s="3"/>
    </row>
    <row r="83" spans="1:12" ht="18" thickTop="1" thickBot="1">
      <c r="A83" s="3"/>
      <c r="B83" s="15" t="s">
        <v>93</v>
      </c>
      <c r="C83" s="16">
        <f>IF(AND(C76="",C77="",C78="",C79="",C80="",C81=""),"",AVERAGE(C76:C81))</f>
        <v>2911.3333333333335</v>
      </c>
      <c r="D83" s="13"/>
      <c r="E83" s="17">
        <f>IF(AND(E76="",E77="",E78="",E79="",E80="",E81=""),"",AVERAGE(E76:E81))</f>
        <v>209</v>
      </c>
      <c r="F83" s="3"/>
      <c r="G83" s="18">
        <f>IF(AND(G76="",G77="",G78="",G79="",G80="",G81=""),"",AVERAGE(G76:G81))</f>
        <v>608518.83333333337</v>
      </c>
      <c r="H83" s="3"/>
      <c r="I83" s="70">
        <f>IF(AND(I76="",I77="",I78="",I79="",I80="",I81=""),"",AVERAGE(I76:J81))</f>
        <v>570019.20000000007</v>
      </c>
      <c r="J83" s="71"/>
      <c r="K83" s="3"/>
      <c r="L83" s="3"/>
    </row>
    <row r="84" spans="1:12" ht="17" thickTop="1">
      <c r="A84" s="3"/>
      <c r="B84" s="3"/>
      <c r="C84" s="3"/>
      <c r="D84" s="3"/>
      <c r="E84" s="3"/>
      <c r="F84" s="3"/>
      <c r="G84" s="3"/>
      <c r="H84" s="3"/>
      <c r="I84" s="3"/>
      <c r="J84" s="3"/>
      <c r="K84" s="3"/>
      <c r="L84" s="3"/>
    </row>
    <row r="85" spans="1:12" ht="16">
      <c r="A85" s="3"/>
      <c r="B85" s="3"/>
      <c r="C85" s="3"/>
      <c r="D85" s="3"/>
      <c r="E85" s="3"/>
      <c r="F85" s="3"/>
      <c r="G85" s="3"/>
      <c r="H85" s="3"/>
      <c r="I85" s="3"/>
      <c r="J85" s="3"/>
      <c r="K85" s="3"/>
      <c r="L85" s="3"/>
    </row>
    <row r="86" spans="1:12" ht="16">
      <c r="A86" s="3"/>
      <c r="B86" s="3"/>
      <c r="C86" s="3"/>
      <c r="D86" s="3"/>
      <c r="E86" s="3"/>
      <c r="F86" s="3"/>
      <c r="G86" s="3"/>
      <c r="H86" s="3"/>
      <c r="I86" s="3"/>
      <c r="J86" s="3"/>
      <c r="K86" s="3"/>
      <c r="L86" s="3"/>
    </row>
    <row r="87" spans="1:12" ht="16">
      <c r="A87" s="3"/>
      <c r="B87" s="3"/>
      <c r="C87" s="3"/>
      <c r="D87" s="3"/>
      <c r="E87" s="3"/>
      <c r="F87" s="3"/>
      <c r="G87" s="3"/>
      <c r="H87" s="3"/>
      <c r="I87" s="3"/>
      <c r="J87" s="3"/>
      <c r="K87" s="3"/>
      <c r="L87" s="3"/>
    </row>
    <row r="88" spans="1:12" ht="16">
      <c r="A88" s="3"/>
      <c r="B88" s="3"/>
      <c r="C88" s="3"/>
      <c r="D88" s="3"/>
      <c r="E88" s="3"/>
      <c r="F88" s="3"/>
      <c r="G88" s="3"/>
      <c r="H88" s="3"/>
      <c r="I88" s="3"/>
      <c r="J88" s="3"/>
      <c r="K88" s="3"/>
      <c r="L88" s="3"/>
    </row>
    <row r="89" spans="1:12" ht="15.5" customHeight="1"/>
    <row r="90" spans="1:12" ht="15.5" customHeight="1"/>
    <row r="91" spans="1:12" ht="15.5" customHeight="1"/>
    <row r="92" spans="1:12" ht="15.5" customHeight="1"/>
    <row r="93" spans="1:12" ht="16">
      <c r="A93" s="19"/>
      <c r="B93" s="19"/>
      <c r="C93" s="19"/>
      <c r="D93" s="19"/>
      <c r="E93" s="19"/>
      <c r="F93" s="19"/>
      <c r="G93" s="19"/>
      <c r="H93" s="19"/>
      <c r="I93" s="19"/>
      <c r="J93" s="19"/>
      <c r="K93" s="19"/>
      <c r="L93" s="19"/>
    </row>
    <row r="94" spans="1:12" ht="16">
      <c r="A94" s="19"/>
      <c r="B94" s="19"/>
      <c r="C94" s="19"/>
      <c r="D94" s="19"/>
      <c r="E94" s="19"/>
      <c r="F94" s="19"/>
      <c r="G94" s="19"/>
      <c r="H94" s="19"/>
      <c r="I94" s="19"/>
      <c r="J94" s="19"/>
      <c r="K94" s="19"/>
      <c r="L94" s="19"/>
    </row>
    <row r="95" spans="1:12" ht="16">
      <c r="A95" s="19"/>
      <c r="B95" s="19"/>
      <c r="C95" s="19"/>
      <c r="D95" s="19"/>
      <c r="E95" s="19"/>
      <c r="F95" s="19"/>
      <c r="G95" s="19"/>
      <c r="H95" s="19"/>
      <c r="I95" s="19"/>
      <c r="J95" s="19"/>
      <c r="K95" s="19"/>
      <c r="L95" s="19"/>
    </row>
    <row r="96" spans="1:12" ht="16">
      <c r="A96" s="19"/>
      <c r="B96" s="19"/>
      <c r="C96" s="19"/>
      <c r="D96" s="19"/>
      <c r="E96" s="19"/>
      <c r="F96" s="19"/>
      <c r="G96" s="19"/>
      <c r="H96" s="19"/>
      <c r="I96" s="19"/>
      <c r="J96" s="19"/>
      <c r="K96" s="19"/>
      <c r="L96" s="19"/>
    </row>
    <row r="97" spans="1:12" ht="16">
      <c r="A97" s="19"/>
      <c r="B97" s="19"/>
      <c r="C97" s="19"/>
      <c r="D97" s="19"/>
      <c r="E97" s="19"/>
      <c r="F97" s="19"/>
      <c r="G97" s="19"/>
      <c r="H97" s="19"/>
      <c r="I97" s="19"/>
      <c r="J97" s="19"/>
      <c r="K97" s="19"/>
      <c r="L97" s="19"/>
    </row>
    <row r="98" spans="1:12" ht="15.5" customHeight="1"/>
    <row r="99" spans="1:12" ht="15.5" customHeight="1"/>
    <row r="100" spans="1:12" ht="17" thickBot="1"/>
    <row r="101" spans="1:12" ht="18" thickTop="1" thickBot="1">
      <c r="C101" s="80">
        <v>45835</v>
      </c>
      <c r="I101" s="33">
        <v>0.9</v>
      </c>
    </row>
    <row r="102" spans="1:12" ht="17" thickTop="1"/>
    <row r="103" spans="1:12" ht="17" thickBot="1"/>
    <row r="104" spans="1:12" ht="18" thickTop="1" thickBot="1">
      <c r="B104" s="40">
        <v>230</v>
      </c>
      <c r="C104" s="40">
        <v>228</v>
      </c>
      <c r="D104" s="40">
        <v>228</v>
      </c>
      <c r="E104" s="41">
        <v>19</v>
      </c>
      <c r="F104" s="41">
        <v>7</v>
      </c>
      <c r="G104" s="41">
        <v>34</v>
      </c>
      <c r="H104" s="3"/>
      <c r="I104" s="3"/>
      <c r="J104" s="20">
        <f>IF(AND(B104="",C104="",D104="",E104="",F104="",G104=""),"",((B104*E104)+(C104*F104)+(D104*G104))/1000)</f>
        <v>13.718</v>
      </c>
    </row>
    <row r="105" spans="1:12" ht="18" thickTop="1" thickBot="1">
      <c r="B105" s="40">
        <v>227</v>
      </c>
      <c r="C105" s="40">
        <v>229</v>
      </c>
      <c r="D105" s="40">
        <v>229</v>
      </c>
      <c r="E105" s="41">
        <v>21</v>
      </c>
      <c r="F105" s="41">
        <v>9</v>
      </c>
      <c r="G105" s="41">
        <v>36</v>
      </c>
      <c r="H105" s="3"/>
      <c r="I105" s="3"/>
      <c r="J105" s="20">
        <f t="shared" ref="J105:J133" si="2">IF(AND(B105="",C105="",D105="",E105="",F105="",G105=""),"",((B105*E105)+(C105*F105)+(D105*G105))/1000)</f>
        <v>15.071999999999999</v>
      </c>
    </row>
    <row r="106" spans="1:12" ht="18" thickTop="1" thickBot="1">
      <c r="B106" s="40">
        <v>229</v>
      </c>
      <c r="C106" s="40">
        <v>228</v>
      </c>
      <c r="D106" s="40">
        <v>228</v>
      </c>
      <c r="E106" s="41">
        <v>18</v>
      </c>
      <c r="F106" s="41">
        <v>9</v>
      </c>
      <c r="G106" s="41">
        <v>35</v>
      </c>
      <c r="H106" s="3"/>
      <c r="I106" s="3"/>
      <c r="J106" s="20">
        <f t="shared" si="2"/>
        <v>14.154</v>
      </c>
    </row>
    <row r="107" spans="1:12" ht="18" thickTop="1" thickBot="1">
      <c r="B107" s="40">
        <v>230</v>
      </c>
      <c r="C107" s="40">
        <v>231</v>
      </c>
      <c r="D107" s="40">
        <v>231</v>
      </c>
      <c r="E107" s="41">
        <v>20</v>
      </c>
      <c r="F107" s="41">
        <v>7</v>
      </c>
      <c r="G107" s="41">
        <v>37</v>
      </c>
      <c r="H107" s="3"/>
      <c r="I107" s="3"/>
      <c r="J107" s="20">
        <f t="shared" si="2"/>
        <v>14.763999999999999</v>
      </c>
    </row>
    <row r="108" spans="1:12" ht="18" thickTop="1" thickBot="1">
      <c r="B108" s="40">
        <v>228</v>
      </c>
      <c r="C108" s="40">
        <v>230</v>
      </c>
      <c r="D108" s="40">
        <v>230</v>
      </c>
      <c r="E108" s="41">
        <v>22</v>
      </c>
      <c r="F108" s="41">
        <v>9</v>
      </c>
      <c r="G108" s="41">
        <v>34</v>
      </c>
      <c r="H108" s="3"/>
      <c r="I108" s="3"/>
      <c r="J108" s="20">
        <f t="shared" si="2"/>
        <v>14.906000000000001</v>
      </c>
    </row>
    <row r="109" spans="1:12" ht="18" thickTop="1" thickBot="1">
      <c r="B109" s="40">
        <v>227</v>
      </c>
      <c r="C109" s="40">
        <v>228</v>
      </c>
      <c r="D109" s="40">
        <v>228</v>
      </c>
      <c r="E109" s="41">
        <v>19</v>
      </c>
      <c r="F109" s="41">
        <v>8</v>
      </c>
      <c r="G109" s="41">
        <v>36</v>
      </c>
      <c r="H109" s="3"/>
      <c r="I109" s="3"/>
      <c r="J109" s="20">
        <f t="shared" si="2"/>
        <v>14.345000000000001</v>
      </c>
    </row>
    <row r="110" spans="1:12" ht="18" thickTop="1" thickBot="1">
      <c r="B110" s="40">
        <v>230</v>
      </c>
      <c r="C110" s="40">
        <v>228</v>
      </c>
      <c r="D110" s="40">
        <v>228</v>
      </c>
      <c r="E110" s="41">
        <v>21</v>
      </c>
      <c r="F110" s="41">
        <v>7</v>
      </c>
      <c r="G110" s="41">
        <v>34</v>
      </c>
      <c r="H110" s="3"/>
      <c r="I110" s="3"/>
      <c r="J110" s="20">
        <f t="shared" si="2"/>
        <v>14.178000000000001</v>
      </c>
    </row>
    <row r="111" spans="1:12" ht="18" thickTop="1" thickBot="1">
      <c r="B111" s="40">
        <v>230</v>
      </c>
      <c r="C111" s="40">
        <v>229</v>
      </c>
      <c r="D111" s="40">
        <v>229</v>
      </c>
      <c r="E111" s="41">
        <v>19</v>
      </c>
      <c r="F111" s="41">
        <v>9</v>
      </c>
      <c r="G111" s="41">
        <v>36</v>
      </c>
      <c r="H111" s="3"/>
      <c r="I111" s="3"/>
      <c r="J111" s="20">
        <f t="shared" si="2"/>
        <v>14.675000000000001</v>
      </c>
    </row>
    <row r="112" spans="1:12" ht="18" thickTop="1" thickBot="1">
      <c r="B112" s="40">
        <v>227</v>
      </c>
      <c r="C112" s="40">
        <v>228</v>
      </c>
      <c r="D112" s="40">
        <v>228</v>
      </c>
      <c r="E112" s="41">
        <v>21</v>
      </c>
      <c r="F112" s="41">
        <v>9</v>
      </c>
      <c r="G112" s="41">
        <v>35</v>
      </c>
      <c r="H112" s="3"/>
      <c r="I112" s="3"/>
      <c r="J112" s="20">
        <f t="shared" si="2"/>
        <v>14.798999999999999</v>
      </c>
    </row>
    <row r="113" spans="2:10" ht="18" thickTop="1" thickBot="1">
      <c r="B113" s="40">
        <v>229</v>
      </c>
      <c r="C113" s="40">
        <v>231</v>
      </c>
      <c r="D113" s="40">
        <v>231</v>
      </c>
      <c r="E113" s="41">
        <v>18</v>
      </c>
      <c r="F113" s="41">
        <v>7</v>
      </c>
      <c r="G113" s="41">
        <v>37</v>
      </c>
      <c r="H113" s="3"/>
      <c r="I113" s="3"/>
      <c r="J113" s="20">
        <f t="shared" si="2"/>
        <v>14.286</v>
      </c>
    </row>
    <row r="114" spans="2:10" ht="18" thickTop="1" thickBot="1">
      <c r="B114" s="40">
        <v>230</v>
      </c>
      <c r="C114" s="40">
        <v>230</v>
      </c>
      <c r="D114" s="40">
        <v>230</v>
      </c>
      <c r="E114" s="41">
        <v>20</v>
      </c>
      <c r="F114" s="41">
        <v>9</v>
      </c>
      <c r="G114" s="41">
        <v>34</v>
      </c>
      <c r="H114" s="3"/>
      <c r="I114" s="3"/>
      <c r="J114" s="20">
        <f t="shared" si="2"/>
        <v>14.49</v>
      </c>
    </row>
    <row r="115" spans="2:10" ht="18" thickTop="1" thickBot="1">
      <c r="B115" s="40">
        <v>228</v>
      </c>
      <c r="C115" s="40">
        <v>228</v>
      </c>
      <c r="D115" s="40">
        <v>228</v>
      </c>
      <c r="E115" s="41">
        <v>22</v>
      </c>
      <c r="F115" s="41">
        <v>8</v>
      </c>
      <c r="G115" s="41">
        <v>36</v>
      </c>
      <c r="H115" s="3"/>
      <c r="I115" s="3"/>
      <c r="J115" s="20">
        <f t="shared" si="2"/>
        <v>15.048</v>
      </c>
    </row>
    <row r="116" spans="2:10" ht="18" thickTop="1" thickBot="1">
      <c r="B116" s="40">
        <v>227</v>
      </c>
      <c r="C116" s="40">
        <v>228</v>
      </c>
      <c r="D116" s="40">
        <v>228</v>
      </c>
      <c r="E116" s="41">
        <v>19</v>
      </c>
      <c r="F116" s="41">
        <v>7</v>
      </c>
      <c r="G116" s="41">
        <v>34</v>
      </c>
      <c r="H116" s="3"/>
      <c r="I116" s="3"/>
      <c r="J116" s="20">
        <f t="shared" si="2"/>
        <v>13.661</v>
      </c>
    </row>
    <row r="117" spans="2:10" ht="18" thickTop="1" thickBot="1">
      <c r="B117" s="40">
        <v>230</v>
      </c>
      <c r="C117" s="40">
        <v>229</v>
      </c>
      <c r="D117" s="40">
        <v>229</v>
      </c>
      <c r="E117" s="41">
        <v>21</v>
      </c>
      <c r="F117" s="41">
        <v>9</v>
      </c>
      <c r="G117" s="41">
        <v>36</v>
      </c>
      <c r="H117" s="3">
        <v>22</v>
      </c>
      <c r="I117" s="3"/>
      <c r="J117" s="20">
        <f t="shared" si="2"/>
        <v>15.135</v>
      </c>
    </row>
    <row r="118" spans="2:10" ht="18" thickTop="1" thickBot="1">
      <c r="B118" s="40">
        <v>230</v>
      </c>
      <c r="C118" s="40">
        <v>228</v>
      </c>
      <c r="D118" s="40">
        <v>228</v>
      </c>
      <c r="E118" s="41">
        <v>19</v>
      </c>
      <c r="F118" s="41">
        <v>9</v>
      </c>
      <c r="G118" s="41">
        <v>35</v>
      </c>
      <c r="H118" s="3"/>
      <c r="I118" s="3"/>
      <c r="J118" s="20">
        <f t="shared" si="2"/>
        <v>14.401999999999999</v>
      </c>
    </row>
    <row r="119" spans="2:10" ht="18" thickTop="1" thickBot="1">
      <c r="B119" s="40">
        <v>227</v>
      </c>
      <c r="C119" s="40">
        <v>231</v>
      </c>
      <c r="D119" s="40">
        <v>231</v>
      </c>
      <c r="E119" s="41">
        <v>21</v>
      </c>
      <c r="F119" s="41">
        <v>7</v>
      </c>
      <c r="G119" s="41">
        <v>37</v>
      </c>
      <c r="H119" s="3"/>
      <c r="I119" s="3"/>
      <c r="J119" s="20">
        <f t="shared" si="2"/>
        <v>14.930999999999999</v>
      </c>
    </row>
    <row r="120" spans="2:10" ht="18" thickTop="1" thickBot="1">
      <c r="B120" s="40">
        <v>229</v>
      </c>
      <c r="C120" s="40">
        <v>230</v>
      </c>
      <c r="D120" s="40">
        <v>230</v>
      </c>
      <c r="E120" s="41">
        <v>18</v>
      </c>
      <c r="F120" s="41">
        <v>9</v>
      </c>
      <c r="G120" s="41">
        <v>34</v>
      </c>
      <c r="H120" s="3"/>
      <c r="I120" s="3"/>
      <c r="J120" s="20">
        <f t="shared" si="2"/>
        <v>14.012</v>
      </c>
    </row>
    <row r="121" spans="2:10" ht="18" thickTop="1" thickBot="1">
      <c r="B121" s="40">
        <v>230</v>
      </c>
      <c r="C121" s="40">
        <v>228</v>
      </c>
      <c r="D121" s="40">
        <v>228</v>
      </c>
      <c r="E121" s="41">
        <v>20</v>
      </c>
      <c r="F121" s="41">
        <v>8</v>
      </c>
      <c r="G121" s="41">
        <v>36</v>
      </c>
      <c r="H121" s="3"/>
      <c r="I121" s="3"/>
      <c r="J121" s="20">
        <f t="shared" si="2"/>
        <v>14.632</v>
      </c>
    </row>
    <row r="122" spans="2:10" ht="18" thickTop="1" thickBot="1">
      <c r="B122" s="40">
        <v>228</v>
      </c>
      <c r="C122" s="40">
        <v>228</v>
      </c>
      <c r="D122" s="40">
        <v>228</v>
      </c>
      <c r="E122" s="41">
        <v>22</v>
      </c>
      <c r="F122" s="41">
        <v>7</v>
      </c>
      <c r="G122" s="41">
        <v>34</v>
      </c>
      <c r="H122" s="3"/>
      <c r="I122" s="3"/>
      <c r="J122" s="20">
        <f t="shared" si="2"/>
        <v>14.364000000000001</v>
      </c>
    </row>
    <row r="123" spans="2:10" ht="18" thickTop="1" thickBot="1">
      <c r="B123" s="40">
        <v>227</v>
      </c>
      <c r="C123" s="40">
        <v>229</v>
      </c>
      <c r="D123" s="40">
        <v>229</v>
      </c>
      <c r="E123" s="41">
        <v>19</v>
      </c>
      <c r="F123" s="41">
        <v>9</v>
      </c>
      <c r="G123" s="41">
        <v>36</v>
      </c>
      <c r="H123" s="3"/>
      <c r="I123" s="3"/>
      <c r="J123" s="20">
        <f t="shared" si="2"/>
        <v>14.618</v>
      </c>
    </row>
    <row r="124" spans="2:10" ht="18" thickTop="1" thickBot="1">
      <c r="B124" s="40">
        <v>230</v>
      </c>
      <c r="C124" s="40">
        <v>228</v>
      </c>
      <c r="D124" s="40">
        <v>228</v>
      </c>
      <c r="E124" s="41">
        <v>21</v>
      </c>
      <c r="F124" s="41">
        <v>9</v>
      </c>
      <c r="G124" s="41">
        <v>35</v>
      </c>
      <c r="H124" s="3"/>
      <c r="I124" s="3"/>
      <c r="J124" s="20">
        <f t="shared" si="2"/>
        <v>14.862</v>
      </c>
    </row>
    <row r="125" spans="2:10" ht="18" thickTop="1" thickBot="1">
      <c r="B125" s="40">
        <v>230</v>
      </c>
      <c r="C125" s="40">
        <v>231</v>
      </c>
      <c r="D125" s="40">
        <v>231</v>
      </c>
      <c r="E125" s="41">
        <v>19</v>
      </c>
      <c r="F125" s="41">
        <v>7</v>
      </c>
      <c r="G125" s="41">
        <v>37</v>
      </c>
      <c r="H125" s="3"/>
      <c r="I125" s="3"/>
      <c r="J125" s="20">
        <f t="shared" si="2"/>
        <v>14.534000000000001</v>
      </c>
    </row>
    <row r="126" spans="2:10" ht="18" thickTop="1" thickBot="1">
      <c r="B126" s="40">
        <v>227</v>
      </c>
      <c r="C126" s="40">
        <v>230</v>
      </c>
      <c r="D126" s="40">
        <v>230</v>
      </c>
      <c r="E126" s="41">
        <v>21</v>
      </c>
      <c r="F126" s="41">
        <v>9</v>
      </c>
      <c r="G126" s="41">
        <v>34</v>
      </c>
      <c r="H126" s="3"/>
      <c r="I126" s="3"/>
      <c r="J126" s="20">
        <f t="shared" si="2"/>
        <v>14.657</v>
      </c>
    </row>
    <row r="127" spans="2:10" ht="18" thickTop="1" thickBot="1">
      <c r="B127" s="40">
        <v>229</v>
      </c>
      <c r="C127" s="40">
        <v>228</v>
      </c>
      <c r="D127" s="40">
        <v>228</v>
      </c>
      <c r="E127" s="41">
        <v>18</v>
      </c>
      <c r="F127" s="41">
        <v>8</v>
      </c>
      <c r="G127" s="41">
        <v>36</v>
      </c>
      <c r="H127" s="3"/>
      <c r="I127" s="3"/>
      <c r="J127" s="20">
        <f t="shared" si="2"/>
        <v>14.154</v>
      </c>
    </row>
    <row r="128" spans="2:10" ht="18" thickTop="1" thickBot="1">
      <c r="B128" s="40">
        <v>230</v>
      </c>
      <c r="C128" s="40">
        <v>228</v>
      </c>
      <c r="D128" s="40">
        <v>228</v>
      </c>
      <c r="E128" s="41">
        <v>20</v>
      </c>
      <c r="F128" s="41">
        <v>7</v>
      </c>
      <c r="G128" s="41">
        <v>34</v>
      </c>
      <c r="H128" s="3"/>
      <c r="I128" s="3"/>
      <c r="J128" s="20">
        <f t="shared" si="2"/>
        <v>13.948</v>
      </c>
    </row>
    <row r="129" spans="2:10" ht="18" thickTop="1" thickBot="1">
      <c r="B129" s="40">
        <v>228</v>
      </c>
      <c r="C129" s="40">
        <v>229</v>
      </c>
      <c r="D129" s="40">
        <v>229</v>
      </c>
      <c r="E129" s="41">
        <v>22</v>
      </c>
      <c r="F129" s="41">
        <v>9</v>
      </c>
      <c r="G129" s="41">
        <v>36</v>
      </c>
      <c r="H129" s="3"/>
      <c r="I129" s="3"/>
      <c r="J129" s="20">
        <f t="shared" si="2"/>
        <v>15.321</v>
      </c>
    </row>
    <row r="130" spans="2:10" ht="18" thickTop="1" thickBot="1">
      <c r="B130" s="40">
        <v>227</v>
      </c>
      <c r="C130" s="40">
        <v>228</v>
      </c>
      <c r="D130" s="40">
        <v>228</v>
      </c>
      <c r="E130" s="41">
        <v>19</v>
      </c>
      <c r="F130" s="41">
        <v>9</v>
      </c>
      <c r="G130" s="41">
        <v>35</v>
      </c>
      <c r="H130" s="3"/>
      <c r="I130" s="3"/>
      <c r="J130" s="20">
        <f t="shared" si="2"/>
        <v>14.345000000000001</v>
      </c>
    </row>
    <row r="131" spans="2:10" ht="18" thickTop="1" thickBot="1">
      <c r="B131" s="40">
        <v>230</v>
      </c>
      <c r="C131" s="40">
        <v>231</v>
      </c>
      <c r="D131" s="40">
        <v>231</v>
      </c>
      <c r="E131" s="41">
        <v>21</v>
      </c>
      <c r="F131" s="41">
        <v>7</v>
      </c>
      <c r="G131" s="41">
        <v>34</v>
      </c>
      <c r="H131" s="3"/>
      <c r="I131" s="3"/>
      <c r="J131" s="20">
        <f t="shared" si="2"/>
        <v>14.301</v>
      </c>
    </row>
    <row r="132" spans="2:10" ht="18" thickTop="1" thickBot="1">
      <c r="B132" s="40"/>
      <c r="C132" s="40"/>
      <c r="D132" s="40"/>
      <c r="E132" s="41"/>
      <c r="F132" s="41"/>
      <c r="G132" s="41"/>
      <c r="H132" s="3"/>
      <c r="I132" s="3"/>
      <c r="J132" s="20" t="str">
        <f t="shared" si="2"/>
        <v/>
      </c>
    </row>
    <row r="133" spans="2:10" ht="18" thickTop="1" thickBot="1">
      <c r="B133" s="40"/>
      <c r="C133" s="40"/>
      <c r="D133" s="40"/>
      <c r="E133" s="3"/>
      <c r="F133" s="3"/>
      <c r="G133" s="3"/>
      <c r="H133" s="3"/>
      <c r="I133" s="3"/>
      <c r="J133" s="3" t="str">
        <f t="shared" si="2"/>
        <v/>
      </c>
    </row>
    <row r="134" spans="2:10" ht="17" thickTop="1">
      <c r="B134" s="3"/>
      <c r="C134" s="3"/>
      <c r="D134" s="3"/>
      <c r="E134" s="3"/>
      <c r="G134" s="3"/>
      <c r="H134" s="3"/>
      <c r="I134" s="3"/>
      <c r="J134" s="3"/>
    </row>
    <row r="135" spans="2:10" ht="16">
      <c r="B135" s="3"/>
      <c r="C135" s="3"/>
      <c r="D135" s="3"/>
      <c r="E135" s="3"/>
      <c r="G135" s="3"/>
      <c r="H135" s="3"/>
      <c r="I135" s="3"/>
      <c r="J135" s="3"/>
    </row>
    <row r="136" spans="2:10" ht="16">
      <c r="B136" s="3"/>
      <c r="C136" s="3"/>
      <c r="D136" s="3"/>
      <c r="E136" s="3"/>
      <c r="G136" s="3"/>
      <c r="H136" s="3"/>
      <c r="I136" s="3"/>
      <c r="J136" s="3"/>
    </row>
    <row r="137" spans="2:10" ht="17" thickBot="1">
      <c r="B137" s="3"/>
      <c r="C137" s="3"/>
      <c r="E137" s="3"/>
      <c r="F137" s="3"/>
      <c r="G137" s="3"/>
      <c r="I137" s="3"/>
      <c r="J137" s="3"/>
    </row>
    <row r="138" spans="2:10" ht="18" thickTop="1" thickBot="1">
      <c r="B138" s="29">
        <f>MAX(B104:B133)</f>
        <v>230</v>
      </c>
      <c r="C138" s="30">
        <f>MAX(E104:E132)</f>
        <v>22</v>
      </c>
      <c r="E138" s="29">
        <f>IF(COUNT(B104:B132)=0,"",AVERAGE(B104:B132))</f>
        <v>228.71428571428572</v>
      </c>
      <c r="F138" s="30">
        <f>IF(COUNT(E104:E132)=0,"",AVERAGE(E104:E132))</f>
        <v>20</v>
      </c>
      <c r="G138" s="3"/>
      <c r="I138" s="21">
        <f>MAX(J104:J132)</f>
        <v>15.321</v>
      </c>
      <c r="J138" s="22">
        <f>IF(OR(I138="",I101=""),"",I138*I101)</f>
        <v>13.7889</v>
      </c>
    </row>
    <row r="139" spans="2:10" ht="18" thickTop="1" thickBot="1">
      <c r="B139" s="29">
        <f>MAX(C104:C132)</f>
        <v>231</v>
      </c>
      <c r="C139" s="30">
        <f>MAX(F104:F132)</f>
        <v>9</v>
      </c>
      <c r="E139" s="29">
        <f>IF(COUNT(C104:C132)=0,"",AVERAGE(C104:C132))</f>
        <v>229</v>
      </c>
      <c r="F139" s="30">
        <f>IF(COUNT(F104:F132)=0,"",AVERAGE(F104:F132))</f>
        <v>8.1428571428571423</v>
      </c>
      <c r="G139" s="3"/>
      <c r="I139" s="3"/>
      <c r="J139" s="3"/>
    </row>
    <row r="140" spans="2:10" ht="18" thickTop="1" thickBot="1">
      <c r="B140" s="29">
        <f>MAX(D104:D132)</f>
        <v>231</v>
      </c>
      <c r="C140" s="30">
        <f>MAX(G104:G132)</f>
        <v>37</v>
      </c>
      <c r="E140" s="29">
        <f>IF(COUNT(D104:D132)=0,"",AVERAGE(D104:D132))</f>
        <v>229</v>
      </c>
      <c r="F140" s="30">
        <f>IF(COUNT(G104:G132)=0,"",AVERAGE(G104:G132))</f>
        <v>35.25</v>
      </c>
      <c r="G140" s="3"/>
      <c r="I140" s="21">
        <f>IF(COUNT(J104:J132)=0,0,MEDIAN(J104:J132))</f>
        <v>14.512</v>
      </c>
      <c r="J140" s="22">
        <f>IF(OR(I140="",I101=""),"",I140*I101)</f>
        <v>13.0608</v>
      </c>
    </row>
    <row r="141" spans="2:10" ht="17" thickTop="1">
      <c r="B141" s="3"/>
      <c r="C141" s="3"/>
      <c r="D141" s="3"/>
      <c r="E141" s="3"/>
    </row>
    <row r="142" spans="2:10" ht="15.5" customHeight="1"/>
    <row r="143" spans="2:10" ht="15.5" customHeight="1">
      <c r="E143" s="3"/>
    </row>
    <row r="144" spans="2:10" ht="15.5" customHeight="1">
      <c r="E144" s="3"/>
    </row>
    <row r="145" spans="1:18" ht="15.5" customHeight="1">
      <c r="E145" s="3"/>
    </row>
    <row r="146" spans="1:18" ht="15.5" customHeight="1">
      <c r="E146" s="3"/>
    </row>
    <row r="147" spans="1:18" ht="15.5" customHeight="1"/>
    <row r="148" spans="1:18" ht="15.5" customHeight="1"/>
    <row r="149" spans="1:18" ht="17" thickBot="1"/>
    <row r="150" spans="1:18" ht="18" thickTop="1" thickBot="1">
      <c r="A150" s="23" t="str">
        <f>"1."</f>
        <v>1.</v>
      </c>
      <c r="B150" s="49" t="s">
        <v>309</v>
      </c>
      <c r="C150" s="50"/>
      <c r="D150" s="51"/>
      <c r="E150" s="44"/>
      <c r="F150" s="44"/>
      <c r="G150" s="42"/>
      <c r="H150" s="53" t="str">
        <f t="shared" ref="H150:H170" si="3">IF(OR(G150="",B150=""),"",VLOOKUP(B150,$O$150:$R$170,4,0))</f>
        <v/>
      </c>
      <c r="I150" s="54"/>
      <c r="J150" s="24" t="str">
        <f t="shared" ref="J150:J169" si="4">IF(OR(G150="",H150=""),"",(G150*H150)/1000)</f>
        <v/>
      </c>
      <c r="O150" s="49" t="s">
        <v>309</v>
      </c>
      <c r="P150" s="50"/>
      <c r="Q150" s="51"/>
      <c r="R150">
        <f>750*1.5</f>
        <v>1125</v>
      </c>
    </row>
    <row r="151" spans="1:18" ht="18" thickTop="1" thickBot="1">
      <c r="A151" s="23" t="str">
        <f>IF(B151="","",SUBSTITUTE(A150,".","")+1&amp;".")</f>
        <v>2.</v>
      </c>
      <c r="B151" s="49" t="s">
        <v>310</v>
      </c>
      <c r="C151" s="50"/>
      <c r="D151" s="51"/>
      <c r="E151" s="44" t="s">
        <v>326</v>
      </c>
      <c r="F151" s="44" t="s">
        <v>327</v>
      </c>
      <c r="G151" s="42">
        <v>8</v>
      </c>
      <c r="H151" s="53">
        <f t="shared" si="3"/>
        <v>1500</v>
      </c>
      <c r="I151" s="54"/>
      <c r="J151" s="24">
        <f t="shared" si="4"/>
        <v>12</v>
      </c>
      <c r="O151" s="49" t="s">
        <v>310</v>
      </c>
      <c r="P151" s="50"/>
      <c r="Q151" s="51"/>
      <c r="R151">
        <f>2*750</f>
        <v>1500</v>
      </c>
    </row>
    <row r="152" spans="1:18" ht="18" thickTop="1" thickBot="1">
      <c r="A152" s="23" t="str">
        <f t="shared" ref="A152:A189" si="5">IF(B152="","",SUBSTITUTE(A151,".","")+1&amp;".")</f>
        <v>3.</v>
      </c>
      <c r="B152" s="49" t="s">
        <v>311</v>
      </c>
      <c r="C152" s="50"/>
      <c r="D152" s="51"/>
      <c r="E152" s="44"/>
      <c r="F152" s="44"/>
      <c r="G152" s="42"/>
      <c r="H152" s="53" t="str">
        <f t="shared" si="3"/>
        <v/>
      </c>
      <c r="I152" s="54"/>
      <c r="J152" s="24" t="str">
        <f t="shared" si="4"/>
        <v/>
      </c>
      <c r="O152" s="49" t="s">
        <v>311</v>
      </c>
      <c r="P152" s="50"/>
      <c r="Q152" s="51"/>
      <c r="R152">
        <f>750*3</f>
        <v>2250</v>
      </c>
    </row>
    <row r="153" spans="1:18" ht="18" thickTop="1" thickBot="1">
      <c r="A153" s="23" t="str">
        <f t="shared" si="5"/>
        <v>4.</v>
      </c>
      <c r="B153" s="49" t="s">
        <v>312</v>
      </c>
      <c r="C153" s="50"/>
      <c r="D153" s="51"/>
      <c r="E153" s="44"/>
      <c r="F153" s="44"/>
      <c r="G153" s="42"/>
      <c r="H153" s="53" t="str">
        <f t="shared" si="3"/>
        <v/>
      </c>
      <c r="I153" s="54"/>
      <c r="J153" s="24" t="str">
        <f t="shared" si="4"/>
        <v/>
      </c>
      <c r="O153" s="49" t="s">
        <v>312</v>
      </c>
      <c r="P153" s="50"/>
      <c r="Q153" s="51"/>
      <c r="R153">
        <f>5*750</f>
        <v>3750</v>
      </c>
    </row>
    <row r="154" spans="1:18" ht="18" thickTop="1" thickBot="1">
      <c r="A154" s="23" t="str">
        <f t="shared" si="5"/>
        <v>5.</v>
      </c>
      <c r="B154" s="49" t="s">
        <v>313</v>
      </c>
      <c r="C154" s="50"/>
      <c r="D154" s="51"/>
      <c r="E154" s="44"/>
      <c r="F154" s="44"/>
      <c r="G154" s="42"/>
      <c r="H154" s="53" t="str">
        <f t="shared" si="3"/>
        <v/>
      </c>
      <c r="I154" s="54"/>
      <c r="J154" s="24" t="str">
        <f t="shared" si="4"/>
        <v/>
      </c>
      <c r="O154" s="49" t="s">
        <v>313</v>
      </c>
      <c r="P154" s="50"/>
      <c r="Q154" s="51"/>
      <c r="R154">
        <f>3*750</f>
        <v>2250</v>
      </c>
    </row>
    <row r="155" spans="1:18" ht="18" thickTop="1" thickBot="1">
      <c r="A155" s="23" t="str">
        <f t="shared" si="5"/>
        <v>6.</v>
      </c>
      <c r="B155" s="49" t="s">
        <v>314</v>
      </c>
      <c r="C155" s="50"/>
      <c r="D155" s="51"/>
      <c r="E155" s="44"/>
      <c r="F155" s="44"/>
      <c r="G155" s="42"/>
      <c r="H155" s="53" t="str">
        <f t="shared" si="3"/>
        <v/>
      </c>
      <c r="I155" s="54"/>
      <c r="J155" s="24" t="str">
        <f t="shared" si="4"/>
        <v/>
      </c>
      <c r="O155" s="49" t="s">
        <v>314</v>
      </c>
      <c r="P155" s="50"/>
      <c r="Q155" s="51"/>
      <c r="R155">
        <f>5*750</f>
        <v>3750</v>
      </c>
    </row>
    <row r="156" spans="1:18" ht="18" thickTop="1" thickBot="1">
      <c r="A156" s="23" t="str">
        <f t="shared" si="5"/>
        <v>7.</v>
      </c>
      <c r="B156" s="49" t="s">
        <v>94</v>
      </c>
      <c r="C156" s="50"/>
      <c r="D156" s="51"/>
      <c r="E156" s="44" t="s">
        <v>328</v>
      </c>
      <c r="F156" s="44"/>
      <c r="G156" s="42">
        <v>7</v>
      </c>
      <c r="H156" s="53">
        <f t="shared" si="3"/>
        <v>220</v>
      </c>
      <c r="I156" s="54"/>
      <c r="J156" s="24">
        <f t="shared" si="4"/>
        <v>1.54</v>
      </c>
      <c r="O156" s="46" t="s">
        <v>94</v>
      </c>
      <c r="P156" s="47"/>
      <c r="Q156" s="48"/>
      <c r="R156">
        <v>220</v>
      </c>
    </row>
    <row r="157" spans="1:18" ht="18" thickTop="1" thickBot="1">
      <c r="A157" s="23" t="str">
        <f t="shared" si="5"/>
        <v>8.</v>
      </c>
      <c r="B157" s="49" t="s">
        <v>95</v>
      </c>
      <c r="C157" s="50"/>
      <c r="D157" s="51"/>
      <c r="E157" s="44" t="s">
        <v>329</v>
      </c>
      <c r="F157" s="44"/>
      <c r="G157" s="42">
        <v>9</v>
      </c>
      <c r="H157" s="53">
        <f t="shared" si="3"/>
        <v>50</v>
      </c>
      <c r="I157" s="54"/>
      <c r="J157" s="24">
        <f t="shared" si="4"/>
        <v>0.45</v>
      </c>
      <c r="O157" s="46" t="s">
        <v>95</v>
      </c>
      <c r="P157" s="47"/>
      <c r="Q157" s="48"/>
      <c r="R157">
        <v>50</v>
      </c>
    </row>
    <row r="158" spans="1:18" ht="18" thickTop="1" thickBot="1">
      <c r="A158" s="23" t="str">
        <f t="shared" si="5"/>
        <v>9.</v>
      </c>
      <c r="B158" s="49" t="s">
        <v>96</v>
      </c>
      <c r="C158" s="50"/>
      <c r="D158" s="51"/>
      <c r="E158" s="44" t="s">
        <v>330</v>
      </c>
      <c r="F158" s="44"/>
      <c r="G158" s="42">
        <v>45</v>
      </c>
      <c r="H158" s="53">
        <f t="shared" si="3"/>
        <v>40</v>
      </c>
      <c r="I158" s="54"/>
      <c r="J158" s="24">
        <f t="shared" si="4"/>
        <v>1.8</v>
      </c>
      <c r="O158" s="46" t="s">
        <v>96</v>
      </c>
      <c r="P158" s="47"/>
      <c r="Q158" s="48"/>
      <c r="R158">
        <v>40</v>
      </c>
    </row>
    <row r="159" spans="1:18" ht="18" thickTop="1" thickBot="1">
      <c r="A159" s="23" t="str">
        <f t="shared" si="5"/>
        <v>10.</v>
      </c>
      <c r="B159" s="49" t="s">
        <v>97</v>
      </c>
      <c r="C159" s="50"/>
      <c r="D159" s="51"/>
      <c r="E159" s="44" t="s">
        <v>331</v>
      </c>
      <c r="F159" s="44"/>
      <c r="G159" s="42">
        <v>4</v>
      </c>
      <c r="H159" s="53">
        <f t="shared" si="3"/>
        <v>380</v>
      </c>
      <c r="I159" s="54"/>
      <c r="J159" s="24">
        <f t="shared" si="4"/>
        <v>1.52</v>
      </c>
      <c r="O159" s="46" t="s">
        <v>97</v>
      </c>
      <c r="P159" s="47"/>
      <c r="Q159" s="48"/>
      <c r="R159">
        <v>380</v>
      </c>
    </row>
    <row r="160" spans="1:18" ht="18" thickTop="1" thickBot="1">
      <c r="A160" s="23" t="str">
        <f t="shared" si="5"/>
        <v>11.</v>
      </c>
      <c r="B160" s="49" t="s">
        <v>98</v>
      </c>
      <c r="C160" s="50"/>
      <c r="D160" s="51"/>
      <c r="E160" s="44" t="s">
        <v>332</v>
      </c>
      <c r="F160" s="44"/>
      <c r="G160" s="42">
        <v>2</v>
      </c>
      <c r="H160" s="53">
        <f t="shared" si="3"/>
        <v>150</v>
      </c>
      <c r="I160" s="54"/>
      <c r="J160" s="24">
        <f t="shared" si="4"/>
        <v>0.3</v>
      </c>
      <c r="O160" s="46" t="s">
        <v>98</v>
      </c>
      <c r="P160" s="47"/>
      <c r="Q160" s="48"/>
      <c r="R160">
        <v>150</v>
      </c>
    </row>
    <row r="161" spans="1:18" ht="18" thickTop="1" thickBot="1">
      <c r="A161" s="23" t="str">
        <f t="shared" si="5"/>
        <v>12.</v>
      </c>
      <c r="B161" s="49" t="s">
        <v>99</v>
      </c>
      <c r="C161" s="50"/>
      <c r="D161" s="51"/>
      <c r="E161" s="44" t="s">
        <v>333</v>
      </c>
      <c r="F161" s="44"/>
      <c r="G161" s="42">
        <v>11</v>
      </c>
      <c r="H161" s="53">
        <f t="shared" si="3"/>
        <v>300</v>
      </c>
      <c r="I161" s="54"/>
      <c r="J161" s="24">
        <f t="shared" si="4"/>
        <v>3.3</v>
      </c>
      <c r="O161" s="46" t="s">
        <v>99</v>
      </c>
      <c r="P161" s="47"/>
      <c r="Q161" s="48"/>
      <c r="R161">
        <v>300</v>
      </c>
    </row>
    <row r="162" spans="1:18" ht="18" thickTop="1" thickBot="1">
      <c r="A162" s="23" t="str">
        <f t="shared" si="5"/>
        <v>13.</v>
      </c>
      <c r="B162" s="49" t="s">
        <v>100</v>
      </c>
      <c r="C162" s="50"/>
      <c r="D162" s="51"/>
      <c r="E162" s="44"/>
      <c r="F162" s="44"/>
      <c r="G162" s="42"/>
      <c r="H162" s="53" t="str">
        <f t="shared" si="3"/>
        <v/>
      </c>
      <c r="I162" s="54"/>
      <c r="J162" s="24" t="str">
        <f t="shared" si="4"/>
        <v/>
      </c>
      <c r="O162" s="46" t="s">
        <v>100</v>
      </c>
      <c r="P162" s="47"/>
      <c r="Q162" s="48"/>
      <c r="R162">
        <v>200</v>
      </c>
    </row>
    <row r="163" spans="1:18" ht="18" thickTop="1" thickBot="1">
      <c r="A163" s="23" t="str">
        <f t="shared" si="5"/>
        <v>14.</v>
      </c>
      <c r="B163" s="49" t="s">
        <v>101</v>
      </c>
      <c r="C163" s="50"/>
      <c r="D163" s="51"/>
      <c r="E163" s="44"/>
      <c r="F163" s="44"/>
      <c r="G163" s="42"/>
      <c r="H163" s="53" t="str">
        <f t="shared" si="3"/>
        <v/>
      </c>
      <c r="I163" s="54"/>
      <c r="J163" s="24" t="str">
        <f t="shared" si="4"/>
        <v/>
      </c>
      <c r="O163" s="46" t="s">
        <v>101</v>
      </c>
      <c r="P163" s="47"/>
      <c r="Q163" s="48"/>
      <c r="R163">
        <v>150</v>
      </c>
    </row>
    <row r="164" spans="1:18" ht="18" thickTop="1" thickBot="1">
      <c r="A164" s="23" t="str">
        <f t="shared" si="5"/>
        <v>15.</v>
      </c>
      <c r="B164" s="49" t="s">
        <v>102</v>
      </c>
      <c r="C164" s="50"/>
      <c r="D164" s="51"/>
      <c r="E164" s="44" t="s">
        <v>334</v>
      </c>
      <c r="F164" s="44"/>
      <c r="G164" s="42">
        <v>1</v>
      </c>
      <c r="H164" s="53">
        <f t="shared" si="3"/>
        <v>1500</v>
      </c>
      <c r="I164" s="54"/>
      <c r="J164" s="24">
        <f t="shared" si="4"/>
        <v>1.5</v>
      </c>
      <c r="O164" s="46" t="s">
        <v>102</v>
      </c>
      <c r="P164" s="47"/>
      <c r="Q164" s="48"/>
      <c r="R164">
        <v>1500</v>
      </c>
    </row>
    <row r="165" spans="1:18" ht="18" thickTop="1" thickBot="1">
      <c r="A165" s="23" t="str">
        <f t="shared" si="5"/>
        <v>16.</v>
      </c>
      <c r="B165" s="49" t="s">
        <v>103</v>
      </c>
      <c r="C165" s="50"/>
      <c r="D165" s="51"/>
      <c r="E165" s="44"/>
      <c r="F165" s="44"/>
      <c r="G165" s="42"/>
      <c r="H165" s="53" t="str">
        <f t="shared" si="3"/>
        <v/>
      </c>
      <c r="I165" s="54"/>
      <c r="J165" s="24" t="str">
        <f t="shared" si="4"/>
        <v/>
      </c>
      <c r="O165" s="46" t="s">
        <v>103</v>
      </c>
      <c r="P165" s="47"/>
      <c r="Q165" s="48"/>
      <c r="R165">
        <v>1500</v>
      </c>
    </row>
    <row r="166" spans="1:18" ht="18" thickTop="1" thickBot="1">
      <c r="A166" s="23" t="str">
        <f t="shared" si="5"/>
        <v>17.</v>
      </c>
      <c r="B166" s="49" t="s">
        <v>104</v>
      </c>
      <c r="C166" s="50"/>
      <c r="D166" s="51"/>
      <c r="E166" s="44"/>
      <c r="F166" s="44"/>
      <c r="G166" s="42"/>
      <c r="H166" s="53" t="str">
        <f t="shared" si="3"/>
        <v/>
      </c>
      <c r="I166" s="54"/>
      <c r="J166" s="24" t="str">
        <f t="shared" si="4"/>
        <v/>
      </c>
      <c r="O166" s="46" t="s">
        <v>104</v>
      </c>
      <c r="P166" s="47"/>
      <c r="Q166" s="48"/>
      <c r="R166">
        <v>500</v>
      </c>
    </row>
    <row r="167" spans="1:18" ht="18" thickTop="1" thickBot="1">
      <c r="A167" s="23" t="str">
        <f t="shared" si="5"/>
        <v>18.</v>
      </c>
      <c r="B167" s="49" t="s">
        <v>105</v>
      </c>
      <c r="C167" s="50"/>
      <c r="D167" s="51"/>
      <c r="E167" s="44"/>
      <c r="F167" s="44"/>
      <c r="G167" s="42"/>
      <c r="H167" s="53" t="str">
        <f t="shared" si="3"/>
        <v/>
      </c>
      <c r="I167" s="54"/>
      <c r="J167" s="24" t="str">
        <f t="shared" si="4"/>
        <v/>
      </c>
      <c r="O167" s="46" t="s">
        <v>105</v>
      </c>
      <c r="P167" s="47"/>
      <c r="Q167" s="48"/>
      <c r="R167">
        <f>R151</f>
        <v>1500</v>
      </c>
    </row>
    <row r="168" spans="1:18" ht="18" thickTop="1" thickBot="1">
      <c r="A168" s="23" t="str">
        <f t="shared" si="5"/>
        <v>19.</v>
      </c>
      <c r="B168" s="49" t="s">
        <v>106</v>
      </c>
      <c r="C168" s="50"/>
      <c r="D168" s="51"/>
      <c r="E168" s="44" t="s">
        <v>335</v>
      </c>
      <c r="F168" s="44"/>
      <c r="G168" s="42">
        <v>5</v>
      </c>
      <c r="H168" s="53">
        <f t="shared" si="3"/>
        <v>250</v>
      </c>
      <c r="I168" s="54"/>
      <c r="J168" s="24">
        <f t="shared" si="4"/>
        <v>1.25</v>
      </c>
      <c r="O168" s="46" t="s">
        <v>106</v>
      </c>
      <c r="P168" s="47"/>
      <c r="Q168" s="48"/>
      <c r="R168">
        <v>250</v>
      </c>
    </row>
    <row r="169" spans="1:18" ht="18" thickTop="1" thickBot="1">
      <c r="A169" s="23" t="str">
        <f t="shared" si="5"/>
        <v>20.</v>
      </c>
      <c r="B169" s="49" t="s">
        <v>107</v>
      </c>
      <c r="C169" s="50"/>
      <c r="D169" s="51"/>
      <c r="E169" s="44" t="s">
        <v>336</v>
      </c>
      <c r="F169" s="44"/>
      <c r="G169" s="42">
        <v>3</v>
      </c>
      <c r="H169" s="53">
        <f t="shared" si="3"/>
        <v>50</v>
      </c>
      <c r="I169" s="54"/>
      <c r="J169" s="24">
        <f t="shared" si="4"/>
        <v>0.15</v>
      </c>
      <c r="O169" s="46" t="s">
        <v>107</v>
      </c>
      <c r="P169" s="47"/>
      <c r="Q169" s="48"/>
      <c r="R169">
        <v>50</v>
      </c>
    </row>
    <row r="170" spans="1:18" ht="18" thickTop="1" thickBot="1">
      <c r="A170" s="23" t="str">
        <f t="shared" si="5"/>
        <v>21.</v>
      </c>
      <c r="B170" s="49" t="s">
        <v>108</v>
      </c>
      <c r="C170" s="50"/>
      <c r="D170" s="51"/>
      <c r="E170" s="44"/>
      <c r="F170" s="44"/>
      <c r="G170" s="42"/>
      <c r="H170" s="53" t="str">
        <f t="shared" si="3"/>
        <v/>
      </c>
      <c r="I170" s="54"/>
      <c r="J170" s="24" t="str">
        <f t="shared" ref="J170:J188" si="6">IF(OR(G170="",H170=""),"",(G170*H170)/1000)</f>
        <v/>
      </c>
      <c r="O170" s="46" t="s">
        <v>108</v>
      </c>
      <c r="P170" s="47"/>
      <c r="Q170" s="48"/>
      <c r="R170">
        <v>50</v>
      </c>
    </row>
    <row r="171" spans="1:18" ht="18" thickTop="1" thickBot="1">
      <c r="A171" s="23" t="str">
        <f t="shared" si="5"/>
        <v/>
      </c>
      <c r="B171" s="74"/>
      <c r="C171" s="75"/>
      <c r="D171" s="76"/>
      <c r="E171" s="44"/>
      <c r="F171" s="44"/>
      <c r="G171" s="42"/>
      <c r="H171" s="77"/>
      <c r="I171" s="77"/>
      <c r="J171" s="24" t="str">
        <f t="shared" si="6"/>
        <v/>
      </c>
    </row>
    <row r="172" spans="1:18" ht="18" thickTop="1" thickBot="1">
      <c r="A172" s="23" t="str">
        <f t="shared" si="5"/>
        <v/>
      </c>
      <c r="B172" s="74"/>
      <c r="C172" s="75"/>
      <c r="D172" s="76"/>
      <c r="E172" s="44"/>
      <c r="F172" s="44"/>
      <c r="G172" s="42"/>
      <c r="H172" s="77"/>
      <c r="I172" s="77"/>
      <c r="J172" s="24" t="str">
        <f t="shared" si="6"/>
        <v/>
      </c>
    </row>
    <row r="173" spans="1:18" ht="18" thickTop="1" thickBot="1">
      <c r="A173" s="23" t="str">
        <f t="shared" si="5"/>
        <v/>
      </c>
      <c r="B173" s="74"/>
      <c r="C173" s="75"/>
      <c r="D173" s="76"/>
      <c r="E173" s="44"/>
      <c r="F173" s="44"/>
      <c r="G173" s="42"/>
      <c r="H173" s="77"/>
      <c r="I173" s="77"/>
      <c r="J173" s="24" t="str">
        <f t="shared" si="6"/>
        <v/>
      </c>
    </row>
    <row r="174" spans="1:18" ht="18" thickTop="1" thickBot="1">
      <c r="A174" s="23" t="str">
        <f t="shared" si="5"/>
        <v/>
      </c>
      <c r="B174" s="74"/>
      <c r="C174" s="75"/>
      <c r="D174" s="76"/>
      <c r="E174" s="44"/>
      <c r="F174" s="44"/>
      <c r="G174" s="42"/>
      <c r="H174" s="77"/>
      <c r="I174" s="77"/>
      <c r="J174" s="24" t="str">
        <f t="shared" si="6"/>
        <v/>
      </c>
    </row>
    <row r="175" spans="1:18" ht="18" thickTop="1" thickBot="1">
      <c r="A175" s="23" t="str">
        <f t="shared" si="5"/>
        <v/>
      </c>
      <c r="B175" s="74"/>
      <c r="C175" s="75"/>
      <c r="D175" s="76"/>
      <c r="E175" s="44"/>
      <c r="F175" s="44"/>
      <c r="G175" s="42"/>
      <c r="H175" s="77"/>
      <c r="I175" s="77"/>
      <c r="J175" s="24" t="str">
        <f t="shared" si="6"/>
        <v/>
      </c>
    </row>
    <row r="176" spans="1:18" ht="18" thickTop="1" thickBot="1">
      <c r="A176" s="23" t="str">
        <f t="shared" si="5"/>
        <v/>
      </c>
      <c r="B176" s="74"/>
      <c r="C176" s="75"/>
      <c r="D176" s="76"/>
      <c r="E176" s="44"/>
      <c r="F176" s="44"/>
      <c r="G176" s="42"/>
      <c r="H176" s="77"/>
      <c r="I176" s="77"/>
      <c r="J176" s="24" t="str">
        <f t="shared" si="6"/>
        <v/>
      </c>
    </row>
    <row r="177" spans="1:10" ht="18" thickTop="1" thickBot="1">
      <c r="A177" s="23" t="str">
        <f t="shared" si="5"/>
        <v/>
      </c>
      <c r="B177" s="74"/>
      <c r="C177" s="75"/>
      <c r="D177" s="76"/>
      <c r="E177" s="44"/>
      <c r="F177" s="44"/>
      <c r="G177" s="42"/>
      <c r="H177" s="77"/>
      <c r="I177" s="77"/>
      <c r="J177" s="24" t="str">
        <f t="shared" si="6"/>
        <v/>
      </c>
    </row>
    <row r="178" spans="1:10" ht="18" thickTop="1" thickBot="1">
      <c r="A178" s="23" t="str">
        <f t="shared" si="5"/>
        <v/>
      </c>
      <c r="B178" s="74"/>
      <c r="C178" s="75"/>
      <c r="D178" s="76"/>
      <c r="E178" s="44"/>
      <c r="F178" s="44"/>
      <c r="G178" s="42"/>
      <c r="H178" s="77"/>
      <c r="I178" s="77"/>
      <c r="J178" s="24" t="str">
        <f>IF(OR(G178="",H178=""),"",(G178*H178)/1000)</f>
        <v/>
      </c>
    </row>
    <row r="179" spans="1:10" ht="18" thickTop="1" thickBot="1">
      <c r="A179" s="23" t="str">
        <f t="shared" si="5"/>
        <v/>
      </c>
      <c r="B179" s="74"/>
      <c r="C179" s="75"/>
      <c r="D179" s="76"/>
      <c r="E179" s="44"/>
      <c r="F179" s="44"/>
      <c r="G179" s="42"/>
      <c r="H179" s="77"/>
      <c r="I179" s="77"/>
      <c r="J179" s="24" t="str">
        <f t="shared" si="6"/>
        <v/>
      </c>
    </row>
    <row r="180" spans="1:10" ht="18" thickTop="1" thickBot="1">
      <c r="A180" s="23" t="str">
        <f t="shared" si="5"/>
        <v/>
      </c>
      <c r="B180" s="74"/>
      <c r="C180" s="75"/>
      <c r="D180" s="76"/>
      <c r="E180" s="44"/>
      <c r="F180" s="44"/>
      <c r="G180" s="42"/>
      <c r="H180" s="77"/>
      <c r="I180" s="77"/>
      <c r="J180" s="24" t="str">
        <f t="shared" si="6"/>
        <v/>
      </c>
    </row>
    <row r="181" spans="1:10" ht="18" thickTop="1" thickBot="1">
      <c r="A181" s="23" t="str">
        <f t="shared" si="5"/>
        <v/>
      </c>
      <c r="B181" s="74"/>
      <c r="C181" s="75"/>
      <c r="D181" s="76"/>
      <c r="E181" s="44"/>
      <c r="F181" s="44"/>
      <c r="G181" s="42"/>
      <c r="H181" s="77"/>
      <c r="I181" s="77"/>
      <c r="J181" s="24" t="str">
        <f t="shared" si="6"/>
        <v/>
      </c>
    </row>
    <row r="182" spans="1:10" ht="18" thickTop="1" thickBot="1">
      <c r="A182" s="23" t="str">
        <f t="shared" si="5"/>
        <v/>
      </c>
      <c r="B182" s="74"/>
      <c r="C182" s="75"/>
      <c r="D182" s="76"/>
      <c r="E182" s="44"/>
      <c r="F182" s="44"/>
      <c r="G182" s="42"/>
      <c r="H182" s="77"/>
      <c r="I182" s="77"/>
      <c r="J182" s="24" t="str">
        <f t="shared" si="6"/>
        <v/>
      </c>
    </row>
    <row r="183" spans="1:10" ht="18" thickTop="1" thickBot="1">
      <c r="A183" s="23" t="str">
        <f t="shared" si="5"/>
        <v/>
      </c>
      <c r="B183" s="74"/>
      <c r="C183" s="75"/>
      <c r="D183" s="76"/>
      <c r="E183" s="44"/>
      <c r="F183" s="44"/>
      <c r="G183" s="42"/>
      <c r="H183" s="77"/>
      <c r="I183" s="77"/>
      <c r="J183" s="24" t="str">
        <f t="shared" si="6"/>
        <v/>
      </c>
    </row>
    <row r="184" spans="1:10" ht="18" thickTop="1" thickBot="1">
      <c r="A184" s="23" t="str">
        <f t="shared" si="5"/>
        <v/>
      </c>
      <c r="B184" s="74"/>
      <c r="C184" s="75"/>
      <c r="D184" s="76"/>
      <c r="E184" s="44"/>
      <c r="F184" s="44"/>
      <c r="G184" s="42"/>
      <c r="H184" s="77"/>
      <c r="I184" s="77"/>
      <c r="J184" s="24" t="str">
        <f t="shared" si="6"/>
        <v/>
      </c>
    </row>
    <row r="185" spans="1:10" ht="18" thickTop="1" thickBot="1">
      <c r="A185" s="23" t="str">
        <f t="shared" si="5"/>
        <v/>
      </c>
      <c r="B185" s="74"/>
      <c r="C185" s="75"/>
      <c r="D185" s="76"/>
      <c r="E185" s="44"/>
      <c r="F185" s="44"/>
      <c r="G185" s="42"/>
      <c r="H185" s="77"/>
      <c r="I185" s="77"/>
      <c r="J185" s="24" t="str">
        <f t="shared" si="6"/>
        <v/>
      </c>
    </row>
    <row r="186" spans="1:10" ht="18" thickTop="1" thickBot="1">
      <c r="A186" s="23" t="str">
        <f t="shared" si="5"/>
        <v/>
      </c>
      <c r="B186" s="74"/>
      <c r="C186" s="75"/>
      <c r="D186" s="76"/>
      <c r="E186" s="44"/>
      <c r="F186" s="44"/>
      <c r="G186" s="42"/>
      <c r="H186" s="77"/>
      <c r="I186" s="77"/>
      <c r="J186" s="24" t="str">
        <f t="shared" si="6"/>
        <v/>
      </c>
    </row>
    <row r="187" spans="1:10" ht="18" thickTop="1" thickBot="1">
      <c r="A187" s="23" t="str">
        <f t="shared" si="5"/>
        <v/>
      </c>
      <c r="B187" s="74"/>
      <c r="C187" s="75"/>
      <c r="D187" s="76"/>
      <c r="E187" s="44"/>
      <c r="F187" s="44"/>
      <c r="G187" s="42"/>
      <c r="H187" s="77"/>
      <c r="I187" s="77"/>
      <c r="J187" s="24" t="str">
        <f t="shared" si="6"/>
        <v/>
      </c>
    </row>
    <row r="188" spans="1:10" ht="18" thickTop="1" thickBot="1">
      <c r="A188" s="23" t="str">
        <f t="shared" si="5"/>
        <v/>
      </c>
      <c r="B188" s="74"/>
      <c r="C188" s="75"/>
      <c r="D188" s="76"/>
      <c r="E188" s="44"/>
      <c r="F188" s="44"/>
      <c r="G188" s="42"/>
      <c r="H188" s="77"/>
      <c r="I188" s="77"/>
      <c r="J188" s="24" t="str">
        <f t="shared" si="6"/>
        <v/>
      </c>
    </row>
    <row r="189" spans="1:10" ht="18" thickTop="1" thickBot="1">
      <c r="A189" s="23" t="str">
        <f t="shared" si="5"/>
        <v/>
      </c>
      <c r="B189" s="74"/>
      <c r="C189" s="75"/>
      <c r="D189" s="76"/>
      <c r="E189" s="44"/>
      <c r="F189" s="44"/>
      <c r="G189" s="42"/>
      <c r="H189" s="77"/>
      <c r="I189" s="77"/>
      <c r="J189" s="24" t="str">
        <f>IF(OR(G189="",H189=""),"",(G189*H189)/1000)</f>
        <v/>
      </c>
    </row>
    <row r="190" spans="1:10" ht="17" thickTop="1">
      <c r="A190" s="25"/>
      <c r="B190" s="78"/>
      <c r="C190" s="78"/>
      <c r="D190" s="78"/>
      <c r="E190" s="78"/>
      <c r="G190" s="79" t="s">
        <v>109</v>
      </c>
      <c r="H190" s="79"/>
      <c r="I190" s="79"/>
      <c r="J190" s="26">
        <f>SUM(J150:J189)</f>
        <v>23.81</v>
      </c>
    </row>
    <row r="191" spans="1:10" ht="16">
      <c r="A191" s="25"/>
      <c r="B191" s="78"/>
      <c r="C191" s="78"/>
      <c r="D191" s="78"/>
      <c r="E191" s="78"/>
    </row>
    <row r="192" spans="1:10" ht="16">
      <c r="A192" s="25"/>
      <c r="B192" s="78"/>
      <c r="C192" s="78"/>
      <c r="D192" s="78"/>
      <c r="E192" s="78"/>
    </row>
    <row r="193" spans="2:5" ht="16">
      <c r="B193" s="78"/>
      <c r="C193" s="78"/>
      <c r="D193" s="78"/>
      <c r="E193" s="78"/>
    </row>
    <row r="194" spans="2:5" ht="15.5" customHeight="1"/>
    <row r="195" spans="2:5" ht="15.5" customHeight="1"/>
    <row r="196" spans="2:5" ht="15.5" customHeight="1"/>
    <row r="197" spans="2:5" ht="15.5" customHeight="1"/>
    <row r="198" spans="2:5" ht="15.5" customHeight="1"/>
    <row r="199" spans="2:5" ht="15.5" customHeight="1"/>
    <row r="200" spans="2:5" ht="15.5" customHeight="1"/>
    <row r="201" spans="2:5" ht="15.5" customHeight="1"/>
    <row r="202" spans="2:5" ht="15.5" customHeight="1"/>
    <row r="203" spans="2:5" ht="15.5" customHeight="1"/>
    <row r="204" spans="2:5" ht="15.5" customHeight="1"/>
    <row r="205" spans="2:5" ht="15.5" customHeight="1"/>
    <row r="206" spans="2:5" ht="15.5" customHeight="1"/>
    <row r="207" spans="2:5" ht="15.5" customHeight="1"/>
    <row r="208" spans="2:5" ht="15.5" customHeight="1"/>
    <row r="209" spans="2:10" ht="15.5" customHeight="1"/>
    <row r="210" spans="2:10" ht="15.5" customHeight="1"/>
    <row r="211" spans="2:10" ht="15.5" customHeight="1">
      <c r="B211" s="43"/>
      <c r="C211" s="43"/>
      <c r="D211" s="43"/>
      <c r="E211" s="43"/>
      <c r="F211" s="43"/>
      <c r="G211" s="43"/>
      <c r="H211" s="43"/>
      <c r="I211" s="43"/>
      <c r="J211" s="43"/>
    </row>
    <row r="212" spans="2:10" ht="15.5" customHeight="1"/>
    <row r="213" spans="2:10" ht="15.5" customHeight="1"/>
    <row r="214" spans="2:10" ht="15.5" customHeight="1"/>
    <row r="215" spans="2:10" ht="15.5" customHeight="1"/>
    <row r="216" spans="2:10" ht="15.5" customHeight="1"/>
    <row r="217" spans="2:10" ht="15.5" customHeight="1"/>
    <row r="218" spans="2:10" ht="15.5" customHeight="1"/>
    <row r="219" spans="2:10" ht="15.5" customHeight="1"/>
    <row r="220" spans="2:10" ht="15.5" customHeight="1"/>
    <row r="221" spans="2:10" ht="15.5" customHeight="1"/>
    <row r="222" spans="2:10" ht="15.5" customHeight="1"/>
    <row r="223" spans="2:10" ht="15.5" customHeight="1"/>
    <row r="224" spans="2:10" ht="15.5" customHeight="1"/>
    <row r="225" spans="2:10" ht="15.5" customHeight="1"/>
    <row r="226" spans="2:10" ht="15.5" customHeight="1"/>
    <row r="227" spans="2:10" ht="15.5" customHeight="1">
      <c r="B227" s="52"/>
      <c r="C227" s="52"/>
      <c r="D227" s="52"/>
      <c r="E227" s="52"/>
      <c r="F227" s="52"/>
      <c r="G227" s="52"/>
      <c r="H227" s="52"/>
      <c r="I227" s="52"/>
      <c r="J227" s="52"/>
    </row>
    <row r="228" spans="2:10" ht="15.5" customHeight="1"/>
    <row r="229" spans="2:10" ht="15.5" customHeight="1"/>
    <row r="230" spans="2:10" ht="15.5" customHeight="1"/>
    <row r="231" spans="2:10" ht="15.5" customHeight="1"/>
    <row r="232" spans="2:10" ht="15.5" customHeight="1"/>
    <row r="233" spans="2:10" ht="15.5" customHeight="1"/>
    <row r="234" spans="2:10" ht="15.5" customHeight="1"/>
    <row r="235" spans="2:10" ht="15.5" customHeight="1"/>
    <row r="236" spans="2:10" ht="15.5" customHeight="1"/>
    <row r="237" spans="2:10" ht="15.5" customHeight="1"/>
    <row r="238" spans="2:10" ht="15.5" customHeight="1"/>
    <row r="239" spans="2:10" ht="15.5" customHeight="1"/>
    <row r="240" spans="2:10" ht="15.5" customHeight="1"/>
    <row r="241" spans="21:26" ht="15.5" customHeight="1"/>
    <row r="242" spans="21:26" ht="15.5" customHeight="1"/>
    <row r="243" spans="21:26" ht="15.5" customHeight="1"/>
    <row r="244" spans="21:26" ht="15.5" customHeight="1">
      <c r="U244" s="27" t="s">
        <v>110</v>
      </c>
      <c r="W244" s="27" t="s">
        <v>111</v>
      </c>
      <c r="X244" s="28" t="s">
        <v>112</v>
      </c>
      <c r="Y244" s="28" t="s">
        <v>113</v>
      </c>
      <c r="Z244" t="str">
        <f>SUBSTITUTE(X244,",","")</f>
        <v>PH SILVER VALLEY TRANS-AMADI RD</v>
      </c>
    </row>
    <row r="245" spans="21:26" ht="15.5" customHeight="1">
      <c r="U245" s="27" t="s">
        <v>2</v>
      </c>
      <c r="W245" s="27" t="s">
        <v>114</v>
      </c>
      <c r="X245" s="28" t="s">
        <v>115</v>
      </c>
      <c r="Y245" s="28" t="s">
        <v>116</v>
      </c>
      <c r="Z245" t="str">
        <f t="shared" ref="Z245:Z308" si="7">SUBSTITUTE(X245,",","")</f>
        <v>OKIGWE 58 OWERRI ROAD</v>
      </c>
    </row>
    <row r="246" spans="21:26" ht="15.5" customHeight="1">
      <c r="U246" s="27" t="s">
        <v>117</v>
      </c>
      <c r="W246" s="27" t="s">
        <v>118</v>
      </c>
      <c r="X246" s="28" t="s">
        <v>0</v>
      </c>
      <c r="Y246" s="28" t="s">
        <v>119</v>
      </c>
      <c r="Z246" t="str">
        <f t="shared" si="7"/>
        <v>OKOTA 56 AGO PALACE WAY</v>
      </c>
    </row>
    <row r="247" spans="21:26" ht="15.5" customHeight="1">
      <c r="U247" s="27" t="s">
        <v>120</v>
      </c>
      <c r="W247" s="27" t="s">
        <v>118</v>
      </c>
      <c r="X247" s="28" t="s">
        <v>3</v>
      </c>
      <c r="Y247" s="28" t="s">
        <v>121</v>
      </c>
      <c r="Z247" t="str">
        <f t="shared" si="7"/>
        <v>GBAGADA GBAGADA EXPRESSWAY</v>
      </c>
    </row>
    <row r="248" spans="21:26" ht="15.5" customHeight="1">
      <c r="U248" s="27" t="s">
        <v>122</v>
      </c>
      <c r="W248" s="27" t="s">
        <v>123</v>
      </c>
      <c r="X248" s="28" t="s">
        <v>124</v>
      </c>
      <c r="Y248" s="28" t="s">
        <v>125</v>
      </c>
      <c r="Z248" t="str">
        <f t="shared" si="7"/>
        <v>ILESHA ITA BALOGUN STREET</v>
      </c>
    </row>
    <row r="249" spans="21:26" ht="15.5" customHeight="1">
      <c r="U249" s="27" t="s">
        <v>126</v>
      </c>
      <c r="W249" s="27" t="s">
        <v>110</v>
      </c>
      <c r="X249" s="28" t="s">
        <v>127</v>
      </c>
      <c r="Y249" s="28" t="s">
        <v>128</v>
      </c>
      <c r="Z249" t="str">
        <f t="shared" si="7"/>
        <v>UMUAHIA IKOT - EKPENE ROAD)</v>
      </c>
    </row>
    <row r="250" spans="21:26" ht="15.5" customHeight="1">
      <c r="U250" s="27" t="s">
        <v>129</v>
      </c>
      <c r="W250" s="27" t="s">
        <v>118</v>
      </c>
      <c r="X250" s="28" t="s">
        <v>5</v>
      </c>
      <c r="Y250" s="28" t="s">
        <v>130</v>
      </c>
      <c r="Z250" t="str">
        <f t="shared" si="7"/>
        <v>IKEJA GRA JOEL OGUNNAIKE STREET</v>
      </c>
    </row>
    <row r="251" spans="21:26" ht="15.5" customHeight="1">
      <c r="U251" s="27" t="s">
        <v>131</v>
      </c>
      <c r="W251" s="27" t="s">
        <v>132</v>
      </c>
      <c r="X251" s="28" t="s">
        <v>133</v>
      </c>
      <c r="Y251" s="28" t="s">
        <v>134</v>
      </c>
      <c r="Z251" t="str">
        <f t="shared" si="7"/>
        <v>OTTA IDIROKO ROAD</v>
      </c>
    </row>
    <row r="252" spans="21:26" ht="15.5" customHeight="1">
      <c r="U252" s="27" t="s">
        <v>135</v>
      </c>
      <c r="W252" s="27" t="s">
        <v>118</v>
      </c>
      <c r="X252" s="28" t="s">
        <v>7</v>
      </c>
      <c r="Y252" s="28" t="s">
        <v>136</v>
      </c>
      <c r="Z252" t="str">
        <f t="shared" si="7"/>
        <v>AKOWONJO SHASHA ROAD</v>
      </c>
    </row>
    <row r="253" spans="21:26" ht="15.5" customHeight="1">
      <c r="U253" s="27" t="s">
        <v>137</v>
      </c>
      <c r="W253" s="27" t="s">
        <v>132</v>
      </c>
      <c r="X253" s="28" t="s">
        <v>138</v>
      </c>
      <c r="Y253" s="28" t="s">
        <v>139</v>
      </c>
      <c r="Z253" t="str">
        <f t="shared" si="7"/>
        <v>ABEOKUTA ADATAN ROAD</v>
      </c>
    </row>
    <row r="254" spans="21:26" ht="15.5" customHeight="1">
      <c r="U254" s="27" t="s">
        <v>140</v>
      </c>
      <c r="W254" s="27" t="s">
        <v>131</v>
      </c>
      <c r="X254" s="28" t="s">
        <v>141</v>
      </c>
      <c r="Y254" s="28" t="s">
        <v>142</v>
      </c>
      <c r="Z254" t="str">
        <f t="shared" si="7"/>
        <v>CALABAR NDIDEM USANG ISO ROAD</v>
      </c>
    </row>
    <row r="255" spans="21:26" ht="15.5" customHeight="1">
      <c r="U255" s="27" t="s">
        <v>143</v>
      </c>
      <c r="W255" s="27" t="s">
        <v>144</v>
      </c>
      <c r="X255" s="28" t="s">
        <v>145</v>
      </c>
      <c r="Y255" s="28" t="s">
        <v>146</v>
      </c>
      <c r="Z255" t="str">
        <f t="shared" si="7"/>
        <v>ENUGU NIKE LAKE ROAD</v>
      </c>
    </row>
    <row r="256" spans="21:26" ht="15.5" customHeight="1">
      <c r="U256" s="27" t="s">
        <v>144</v>
      </c>
      <c r="W256" s="27" t="s">
        <v>118</v>
      </c>
      <c r="X256" s="28" t="s">
        <v>9</v>
      </c>
      <c r="Y256" s="28" t="s">
        <v>147</v>
      </c>
      <c r="Z256" t="str">
        <f t="shared" si="7"/>
        <v>ALABA DENSINE PLAZA OLOJO DRIVE</v>
      </c>
    </row>
    <row r="257" spans="21:26" ht="15.5" customHeight="1">
      <c r="U257" s="27" t="s">
        <v>114</v>
      </c>
      <c r="W257" s="27" t="s">
        <v>148</v>
      </c>
      <c r="X257" s="28" t="s">
        <v>149</v>
      </c>
      <c r="Y257" s="28" t="s">
        <v>150</v>
      </c>
      <c r="Z257" t="str">
        <f t="shared" si="7"/>
        <v>KADUNA ISA KAITA ROAD</v>
      </c>
    </row>
    <row r="258" spans="21:26" ht="15.5" customHeight="1">
      <c r="U258" s="27" t="s">
        <v>151</v>
      </c>
      <c r="W258" s="27" t="s">
        <v>118</v>
      </c>
      <c r="X258" s="28" t="s">
        <v>10</v>
      </c>
      <c r="Y258" s="28" t="s">
        <v>152</v>
      </c>
      <c r="Z258" t="str">
        <f t="shared" si="7"/>
        <v>OJUELEGBA SHIFAWU STREET</v>
      </c>
    </row>
    <row r="259" spans="21:26" ht="15.5" customHeight="1">
      <c r="U259" s="27" t="s">
        <v>148</v>
      </c>
      <c r="W259" s="27" t="s">
        <v>118</v>
      </c>
      <c r="X259" s="28" t="s">
        <v>11</v>
      </c>
      <c r="Y259" s="28" t="s">
        <v>153</v>
      </c>
      <c r="Z259" t="str">
        <f t="shared" si="7"/>
        <v>MARYLANDMOBOLAJI BANK ANTHONY WAY</v>
      </c>
    </row>
    <row r="260" spans="21:26" ht="15.5" customHeight="1">
      <c r="U260" s="27" t="s">
        <v>154</v>
      </c>
      <c r="W260" s="27" t="s">
        <v>155</v>
      </c>
      <c r="X260" s="28" t="s">
        <v>156</v>
      </c>
      <c r="Y260" s="28" t="s">
        <v>157</v>
      </c>
      <c r="Z260" t="str">
        <f t="shared" si="7"/>
        <v>IBADAN AGBENI MARKET</v>
      </c>
    </row>
    <row r="261" spans="21:26" ht="15.5" customHeight="1">
      <c r="U261" s="27" t="s">
        <v>158</v>
      </c>
      <c r="W261" s="27" t="s">
        <v>159</v>
      </c>
      <c r="X261" s="28" t="s">
        <v>160</v>
      </c>
      <c r="Y261" s="28" t="s">
        <v>161</v>
      </c>
      <c r="Z261" t="str">
        <f t="shared" si="7"/>
        <v>ORE BRANCH</v>
      </c>
    </row>
    <row r="262" spans="21:26" ht="15.5" customHeight="1">
      <c r="U262" s="27" t="s">
        <v>162</v>
      </c>
      <c r="W262" s="27" t="s">
        <v>118</v>
      </c>
      <c r="X262" s="28" t="s">
        <v>13</v>
      </c>
      <c r="Y262" s="28" t="s">
        <v>163</v>
      </c>
      <c r="Z262" t="str">
        <f t="shared" si="7"/>
        <v>OSHODI OSHODI-APAPA EXPRESSWAY</v>
      </c>
    </row>
    <row r="263" spans="21:26" ht="15.5" customHeight="1">
      <c r="U263" s="27" t="s">
        <v>118</v>
      </c>
      <c r="W263" s="27" t="s">
        <v>135</v>
      </c>
      <c r="X263" s="28" t="s">
        <v>164</v>
      </c>
      <c r="Y263" s="28" t="s">
        <v>165</v>
      </c>
      <c r="Z263" t="str">
        <f t="shared" si="7"/>
        <v>UGHELLI MARKET ROAD</v>
      </c>
    </row>
    <row r="264" spans="21:26" ht="15.5" customHeight="1">
      <c r="U264" s="27" t="s">
        <v>166</v>
      </c>
      <c r="W264" s="27" t="s">
        <v>155</v>
      </c>
      <c r="X264" s="28" t="s">
        <v>167</v>
      </c>
      <c r="Y264" s="28" t="s">
        <v>168</v>
      </c>
      <c r="Z264" t="str">
        <f t="shared" si="7"/>
        <v>OGBOMOSHO ILORIN ROAD</v>
      </c>
    </row>
    <row r="265" spans="21:26" ht="15.5" customHeight="1">
      <c r="U265" s="27" t="s">
        <v>132</v>
      </c>
      <c r="W265" s="27" t="s">
        <v>118</v>
      </c>
      <c r="X265" s="28" t="s">
        <v>14</v>
      </c>
      <c r="Y265" s="28" t="s">
        <v>169</v>
      </c>
      <c r="Z265" t="str">
        <f t="shared" si="7"/>
        <v>MAFOLUKU INTL AIRPORT ROAD</v>
      </c>
    </row>
    <row r="266" spans="21:26" ht="15.5" customHeight="1">
      <c r="U266" s="27" t="s">
        <v>159</v>
      </c>
      <c r="W266" s="27" t="s">
        <v>2</v>
      </c>
      <c r="X266" s="28" t="s">
        <v>170</v>
      </c>
      <c r="Y266" s="28" t="s">
        <v>171</v>
      </c>
      <c r="Z266" t="str">
        <f t="shared" si="7"/>
        <v>LIFE CAMP ABUJA JABI-KARMO ROAD</v>
      </c>
    </row>
    <row r="267" spans="21:26" ht="15.5" customHeight="1">
      <c r="U267" s="27" t="s">
        <v>123</v>
      </c>
      <c r="W267" s="27" t="s">
        <v>118</v>
      </c>
      <c r="X267" s="28" t="s">
        <v>15</v>
      </c>
      <c r="Y267" s="28" t="s">
        <v>172</v>
      </c>
      <c r="Z267" t="str">
        <f t="shared" si="7"/>
        <v>LEKKI PHASE I ADMIRALTY WAY</v>
      </c>
    </row>
    <row r="268" spans="21:26" ht="15.5" customHeight="1">
      <c r="U268" s="27" t="s">
        <v>155</v>
      </c>
      <c r="W268" s="27" t="s">
        <v>110</v>
      </c>
      <c r="X268" s="28" t="s">
        <v>173</v>
      </c>
      <c r="Y268" s="28" t="s">
        <v>174</v>
      </c>
      <c r="Z268" t="str">
        <f t="shared" si="7"/>
        <v>RET SHOP - OSISIOMA (001)</v>
      </c>
    </row>
    <row r="269" spans="21:26" ht="15.5" customHeight="1">
      <c r="U269" s="27" t="s">
        <v>175</v>
      </c>
      <c r="W269" s="27" t="s">
        <v>110</v>
      </c>
      <c r="X269" s="28" t="s">
        <v>176</v>
      </c>
      <c r="Y269" s="28" t="s">
        <v>177</v>
      </c>
      <c r="Z269" t="str">
        <f t="shared" si="7"/>
        <v>RETAIL SHOP - ARIARIA (001)</v>
      </c>
    </row>
    <row r="270" spans="21:26" ht="15.5" customHeight="1">
      <c r="U270" s="27" t="s">
        <v>111</v>
      </c>
      <c r="W270" s="27" t="s">
        <v>118</v>
      </c>
      <c r="X270" s="28" t="s">
        <v>16</v>
      </c>
      <c r="Y270" s="28" t="s">
        <v>178</v>
      </c>
      <c r="Z270" t="str">
        <f t="shared" si="7"/>
        <v>RET SHOP - JANKARA  LAGOS ISD(002)</v>
      </c>
    </row>
    <row r="271" spans="21:26" ht="15.5" customHeight="1">
      <c r="W271" s="27" t="s">
        <v>118</v>
      </c>
      <c r="X271" s="28" t="s">
        <v>21</v>
      </c>
      <c r="Y271" s="28" t="s">
        <v>179</v>
      </c>
      <c r="Z271" t="str">
        <f t="shared" si="7"/>
        <v>RET SHOP - OKOTA ISOLO LAGOS (004)</v>
      </c>
    </row>
    <row r="272" spans="21:26" ht="15.5" customHeight="1">
      <c r="W272" s="27" t="s">
        <v>135</v>
      </c>
      <c r="X272" s="28" t="s">
        <v>180</v>
      </c>
      <c r="Y272" s="28" t="s">
        <v>181</v>
      </c>
      <c r="Z272" t="str">
        <f t="shared" si="7"/>
        <v>RET SHOP - WARRI (005)</v>
      </c>
    </row>
    <row r="273" spans="23:26" ht="15.5" customHeight="1">
      <c r="W273" s="27" t="s">
        <v>154</v>
      </c>
      <c r="X273" s="28" t="s">
        <v>182</v>
      </c>
      <c r="Y273" s="28" t="s">
        <v>183</v>
      </c>
      <c r="Z273" t="str">
        <f t="shared" si="7"/>
        <v>RET SHOP - BAYERO UNI. KANO (007)</v>
      </c>
    </row>
    <row r="274" spans="23:26" ht="15.5" customHeight="1">
      <c r="W274" s="27" t="s">
        <v>118</v>
      </c>
      <c r="X274" s="28" t="s">
        <v>27</v>
      </c>
      <c r="Y274" s="28" t="s">
        <v>184</v>
      </c>
      <c r="Z274" t="str">
        <f t="shared" si="7"/>
        <v>RET SHOP - ALUMINUM VILLAGE (011)</v>
      </c>
    </row>
    <row r="275" spans="23:26" ht="15.5" customHeight="1">
      <c r="W275" s="27" t="s">
        <v>159</v>
      </c>
      <c r="X275" s="28" t="s">
        <v>185</v>
      </c>
      <c r="Y275" s="28" t="s">
        <v>186</v>
      </c>
      <c r="Z275" t="str">
        <f t="shared" si="7"/>
        <v>OWO BRANCH</v>
      </c>
    </row>
    <row r="276" spans="23:26" ht="15.5" customHeight="1">
      <c r="W276" s="27" t="s">
        <v>2</v>
      </c>
      <c r="X276" s="28" t="s">
        <v>187</v>
      </c>
      <c r="Y276" s="28" t="s">
        <v>188</v>
      </c>
      <c r="Z276" t="str">
        <f t="shared" si="7"/>
        <v>RET SHOP- SAVANNAH SUITES ABJ(013)</v>
      </c>
    </row>
    <row r="277" spans="23:26" ht="15.5" customHeight="1">
      <c r="W277" s="27" t="s">
        <v>175</v>
      </c>
      <c r="X277" s="28" t="s">
        <v>189</v>
      </c>
      <c r="Y277" s="28" t="s">
        <v>190</v>
      </c>
      <c r="Z277" t="str">
        <f t="shared" si="7"/>
        <v>RET SHOP - KATAKO (015)</v>
      </c>
    </row>
    <row r="278" spans="23:26" ht="15.5" customHeight="1">
      <c r="W278" s="27" t="s">
        <v>114</v>
      </c>
      <c r="X278" s="28" t="s">
        <v>191</v>
      </c>
      <c r="Y278" s="28" t="s">
        <v>192</v>
      </c>
      <c r="Z278" t="str">
        <f t="shared" si="7"/>
        <v>RET SHOP - FUTO (017)</v>
      </c>
    </row>
    <row r="279" spans="23:26" ht="15.5" customHeight="1">
      <c r="W279" s="27" t="s">
        <v>129</v>
      </c>
      <c r="X279" s="28" t="s">
        <v>193</v>
      </c>
      <c r="Y279" s="28" t="s">
        <v>194</v>
      </c>
      <c r="Z279" t="str">
        <f t="shared" si="7"/>
        <v>RET SHOP - UNIV. OF MAIDUGURI (020)</v>
      </c>
    </row>
    <row r="280" spans="23:26" ht="15.5" customHeight="1">
      <c r="W280" s="27" t="s">
        <v>155</v>
      </c>
      <c r="X280" s="28" t="s">
        <v>195</v>
      </c>
      <c r="Y280" s="28" t="s">
        <v>196</v>
      </c>
      <c r="Z280" t="str">
        <f t="shared" si="7"/>
        <v>SANGO-IBADAN BRANCH</v>
      </c>
    </row>
    <row r="281" spans="23:26" ht="15.5" customHeight="1">
      <c r="W281" s="27" t="s">
        <v>126</v>
      </c>
      <c r="X281" s="28" t="s">
        <v>197</v>
      </c>
      <c r="Y281" s="28" t="s">
        <v>198</v>
      </c>
      <c r="Z281" t="str">
        <f t="shared" si="7"/>
        <v>RET SHOP - N/BANK MAKURDI (034)</v>
      </c>
    </row>
    <row r="282" spans="23:26" ht="15.5" customHeight="1">
      <c r="W282" s="27" t="s">
        <v>137</v>
      </c>
      <c r="X282" s="28" t="s">
        <v>199</v>
      </c>
      <c r="Y282" s="28" t="s">
        <v>200</v>
      </c>
      <c r="Z282" t="str">
        <f t="shared" si="7"/>
        <v>RET SHOP - EBONYI STATE UNIV (035)</v>
      </c>
    </row>
    <row r="283" spans="23:26" ht="15.5" customHeight="1">
      <c r="W283" s="27" t="s">
        <v>110</v>
      </c>
      <c r="X283" s="28" t="s">
        <v>201</v>
      </c>
      <c r="Y283" s="28" t="s">
        <v>202</v>
      </c>
      <c r="Z283" t="str">
        <f t="shared" si="7"/>
        <v>RET SHOP - UMUAHIA (039)</v>
      </c>
    </row>
    <row r="284" spans="23:26" ht="15.5" customHeight="1">
      <c r="W284" s="27" t="s">
        <v>118</v>
      </c>
      <c r="X284" s="28" t="s">
        <v>31</v>
      </c>
      <c r="Y284" s="28" t="s">
        <v>203</v>
      </c>
      <c r="Z284" t="str">
        <f t="shared" si="7"/>
        <v>RET SHOP - IDDO EBUTE METTA)</v>
      </c>
    </row>
    <row r="285" spans="23:26" ht="15.5" customHeight="1">
      <c r="W285" s="27" t="s">
        <v>118</v>
      </c>
      <c r="X285" s="28" t="s">
        <v>34</v>
      </c>
      <c r="Y285" s="28" t="s">
        <v>204</v>
      </c>
      <c r="Z285" t="str">
        <f t="shared" si="7"/>
        <v>RET SHOP - OGUNLANA DRIVE (051)</v>
      </c>
    </row>
    <row r="286" spans="23:26" ht="15.5" customHeight="1">
      <c r="W286" s="27" t="s">
        <v>154</v>
      </c>
      <c r="X286" s="28" t="s">
        <v>205</v>
      </c>
      <c r="Y286" s="28" t="s">
        <v>206</v>
      </c>
      <c r="Z286" t="str">
        <f t="shared" si="7"/>
        <v>RET SHOP - DAWANUA KANO (058)</v>
      </c>
    </row>
    <row r="287" spans="23:26" ht="15.5" customHeight="1">
      <c r="W287" s="27" t="s">
        <v>166</v>
      </c>
      <c r="X287" s="28" t="s">
        <v>207</v>
      </c>
      <c r="Y287" s="28" t="s">
        <v>208</v>
      </c>
      <c r="Z287" t="str">
        <f t="shared" si="7"/>
        <v>RET SHOP-NASS. STATE UNI.KEFFI(073)</v>
      </c>
    </row>
    <row r="288" spans="23:26" ht="15.5" customHeight="1">
      <c r="W288" s="27" t="s">
        <v>2</v>
      </c>
      <c r="X288" s="28" t="s">
        <v>12</v>
      </c>
      <c r="Y288" s="28" t="s">
        <v>209</v>
      </c>
      <c r="Z288" t="str">
        <f t="shared" si="7"/>
        <v>RET SHOP -AREA 1 COMPLEX ABUJA(077)</v>
      </c>
    </row>
    <row r="289" spans="23:26" ht="15.5" customHeight="1">
      <c r="W289" s="27" t="s">
        <v>110</v>
      </c>
      <c r="X289" s="28" t="s">
        <v>210</v>
      </c>
      <c r="Y289" s="28" t="s">
        <v>211</v>
      </c>
      <c r="Z289" t="str">
        <f t="shared" si="7"/>
        <v>RET SHOP - NGWA ROAD (078)</v>
      </c>
    </row>
    <row r="290" spans="23:26" ht="15.5" customHeight="1">
      <c r="W290" s="27" t="s">
        <v>122</v>
      </c>
      <c r="X290" s="28" t="s">
        <v>212</v>
      </c>
      <c r="Y290" s="28" t="s">
        <v>213</v>
      </c>
      <c r="Z290" t="str">
        <f t="shared" si="7"/>
        <v>RET SHOP-NIGER DELTA UNI. MINI(082)</v>
      </c>
    </row>
    <row r="291" spans="23:26" ht="15.5" customHeight="1">
      <c r="W291" s="27" t="s">
        <v>118</v>
      </c>
      <c r="X291" s="28" t="s">
        <v>36</v>
      </c>
      <c r="Y291" s="28" t="s">
        <v>214</v>
      </c>
      <c r="Z291" t="str">
        <f t="shared" si="7"/>
        <v>RET SHOP - IFAKO GBAGADA (087)</v>
      </c>
    </row>
    <row r="292" spans="23:26" ht="15.5" customHeight="1">
      <c r="W292" s="27" t="s">
        <v>118</v>
      </c>
      <c r="X292" s="28" t="s">
        <v>38</v>
      </c>
      <c r="Y292" s="28" t="s">
        <v>215</v>
      </c>
      <c r="Z292" t="str">
        <f t="shared" si="7"/>
        <v>RET SHOP - KETU (088)</v>
      </c>
    </row>
    <row r="293" spans="23:26" ht="15.5" customHeight="1">
      <c r="W293" s="27" t="s">
        <v>114</v>
      </c>
      <c r="X293" s="28" t="s">
        <v>216</v>
      </c>
      <c r="Y293" s="28" t="s">
        <v>217</v>
      </c>
      <c r="Z293" t="str">
        <f t="shared" si="7"/>
        <v>RET SHOP - IMO STATE SECTARIAT(090)</v>
      </c>
    </row>
    <row r="294" spans="23:26" ht="15.5" customHeight="1">
      <c r="W294" s="27" t="s">
        <v>114</v>
      </c>
      <c r="X294" s="28" t="s">
        <v>218</v>
      </c>
      <c r="Y294" s="28" t="s">
        <v>219</v>
      </c>
      <c r="Z294" t="str">
        <f t="shared" si="7"/>
        <v>RET SHOP - NAZE MARKET (090)</v>
      </c>
    </row>
    <row r="295" spans="23:26" ht="15.5" customHeight="1">
      <c r="W295" s="27" t="s">
        <v>118</v>
      </c>
      <c r="X295" s="28" t="s">
        <v>39</v>
      </c>
      <c r="Y295" s="28" t="s">
        <v>220</v>
      </c>
      <c r="Z295" t="str">
        <f t="shared" si="7"/>
        <v>RET SHOP - IKOTA VGC LAGOS (095)</v>
      </c>
    </row>
    <row r="296" spans="23:26" ht="15.5" customHeight="1">
      <c r="W296" s="27" t="s">
        <v>155</v>
      </c>
      <c r="X296" s="28" t="s">
        <v>221</v>
      </c>
      <c r="Y296" s="28" t="s">
        <v>222</v>
      </c>
      <c r="Z296" t="str">
        <f t="shared" si="7"/>
        <v>MONOTAN-IBADAN BRANCH</v>
      </c>
    </row>
    <row r="297" spans="23:26" ht="15.5" customHeight="1">
      <c r="W297" s="27" t="s">
        <v>148</v>
      </c>
      <c r="X297" s="28" t="s">
        <v>223</v>
      </c>
      <c r="Y297" s="28" t="s">
        <v>224</v>
      </c>
      <c r="Z297" t="str">
        <f t="shared" si="7"/>
        <v>RET SHOP - ZARIA (127)</v>
      </c>
    </row>
    <row r="298" spans="23:26" ht="15.5" customHeight="1">
      <c r="W298" s="27" t="s">
        <v>132</v>
      </c>
      <c r="X298" s="28" t="s">
        <v>225</v>
      </c>
      <c r="Y298" s="28" t="s">
        <v>226</v>
      </c>
      <c r="Z298" t="str">
        <f t="shared" si="7"/>
        <v>RET SHOP - BABCOCK UNIVERSITY (137)</v>
      </c>
    </row>
    <row r="299" spans="23:26" ht="15.5" customHeight="1">
      <c r="W299" s="27" t="s">
        <v>123</v>
      </c>
      <c r="X299" s="28" t="s">
        <v>227</v>
      </c>
      <c r="Y299" s="28" t="s">
        <v>228</v>
      </c>
      <c r="Z299" t="str">
        <f t="shared" si="7"/>
        <v>IPETU IJESHA BRANCH</v>
      </c>
    </row>
    <row r="300" spans="23:26" ht="15.5" customHeight="1">
      <c r="W300" s="27" t="s">
        <v>135</v>
      </c>
      <c r="X300" s="28" t="s">
        <v>229</v>
      </c>
      <c r="Y300" s="28" t="s">
        <v>230</v>
      </c>
      <c r="Z300" t="str">
        <f t="shared" si="7"/>
        <v>OKPANAM ROAD BRANCH</v>
      </c>
    </row>
    <row r="301" spans="23:26" ht="15.5" customHeight="1">
      <c r="W301" s="27" t="s">
        <v>140</v>
      </c>
      <c r="X301" s="28" t="s">
        <v>231</v>
      </c>
      <c r="Y301" s="28" t="s">
        <v>232</v>
      </c>
      <c r="Z301" t="str">
        <f t="shared" si="7"/>
        <v>EKENWA-BENIN BRANCH</v>
      </c>
    </row>
    <row r="302" spans="23:26" ht="15.5" customHeight="1">
      <c r="W302" s="27" t="s">
        <v>155</v>
      </c>
      <c r="X302" s="28" t="s">
        <v>233</v>
      </c>
      <c r="Y302" s="28" t="s">
        <v>234</v>
      </c>
      <c r="Z302" t="str">
        <f t="shared" si="7"/>
        <v>GBAGI MARKET BRANCH</v>
      </c>
    </row>
    <row r="303" spans="23:26" ht="15.5" customHeight="1">
      <c r="W303" s="27" t="s">
        <v>111</v>
      </c>
      <c r="X303" s="28" t="s">
        <v>235</v>
      </c>
      <c r="Y303" s="28" t="s">
        <v>236</v>
      </c>
      <c r="Z303" t="str">
        <f t="shared" si="7"/>
        <v>ABULOMA CLOSA OUTLET </v>
      </c>
    </row>
    <row r="304" spans="23:26" ht="15.5" customHeight="1">
      <c r="W304" s="27" t="s">
        <v>118</v>
      </c>
      <c r="X304" s="28" t="s">
        <v>40</v>
      </c>
      <c r="Y304" s="28" t="s">
        <v>237</v>
      </c>
      <c r="Z304" t="str">
        <f t="shared" si="7"/>
        <v>BOGIJE CLOSA OUTLET </v>
      </c>
    </row>
    <row r="305" spans="23:26" ht="15.5" customHeight="1">
      <c r="W305" s="27" t="s">
        <v>118</v>
      </c>
      <c r="X305" s="28" t="s">
        <v>41</v>
      </c>
      <c r="Y305" s="28" t="s">
        <v>238</v>
      </c>
      <c r="Z305" t="str">
        <f t="shared" si="7"/>
        <v>SANGOTEDO CLOSA OUTLET </v>
      </c>
    </row>
    <row r="306" spans="23:26" ht="15.5" customHeight="1">
      <c r="W306" s="27" t="s">
        <v>122</v>
      </c>
      <c r="X306" s="28" t="s">
        <v>239</v>
      </c>
      <c r="Y306" s="28" t="s">
        <v>240</v>
      </c>
      <c r="Z306" t="str">
        <f t="shared" si="7"/>
        <v>YENEGOA CLOSA OUTLET </v>
      </c>
    </row>
    <row r="307" spans="23:26" ht="15.5" customHeight="1">
      <c r="W307" s="27" t="s">
        <v>135</v>
      </c>
      <c r="X307" s="28" t="s">
        <v>241</v>
      </c>
      <c r="Y307" s="28" t="s">
        <v>242</v>
      </c>
      <c r="Z307" t="str">
        <f t="shared" si="7"/>
        <v>OLEH CLOSA OUTLET </v>
      </c>
    </row>
    <row r="308" spans="23:26" ht="15.5" customHeight="1">
      <c r="W308" s="27" t="s">
        <v>118</v>
      </c>
      <c r="X308" s="28" t="s">
        <v>42</v>
      </c>
      <c r="Y308" s="28" t="s">
        <v>243</v>
      </c>
      <c r="Z308" t="str">
        <f t="shared" si="7"/>
        <v>AGBOWA CLOSA OUTLET </v>
      </c>
    </row>
    <row r="309" spans="23:26" ht="15.5" customHeight="1">
      <c r="W309" s="27" t="s">
        <v>162</v>
      </c>
      <c r="X309" s="28" t="s">
        <v>244</v>
      </c>
      <c r="Y309" s="28" t="s">
        <v>245</v>
      </c>
      <c r="Z309" t="str">
        <f t="shared" ref="Z309:Z343" si="8">SUBSTITUTE(X309,",","")</f>
        <v>EGBE CLOSA OUTLET </v>
      </c>
    </row>
    <row r="310" spans="23:26" ht="15.5" customHeight="1">
      <c r="W310" s="27" t="s">
        <v>148</v>
      </c>
      <c r="X310" s="28" t="s">
        <v>246</v>
      </c>
      <c r="Y310" s="28" t="s">
        <v>247</v>
      </c>
      <c r="Z310" t="str">
        <f t="shared" si="8"/>
        <v>GONIN-GORA CLOSA OUTLET </v>
      </c>
    </row>
    <row r="311" spans="23:26" ht="15.5" customHeight="1">
      <c r="W311" s="27" t="s">
        <v>162</v>
      </c>
      <c r="X311" s="28" t="s">
        <v>248</v>
      </c>
      <c r="Y311" s="28" t="s">
        <v>249</v>
      </c>
      <c r="Z311" t="str">
        <f t="shared" si="8"/>
        <v>OKENE CLOSA OUTLET </v>
      </c>
    </row>
    <row r="312" spans="23:26" ht="15.5" customHeight="1">
      <c r="W312" s="27" t="s">
        <v>118</v>
      </c>
      <c r="X312" s="28" t="s">
        <v>43</v>
      </c>
      <c r="Y312" s="28" t="s">
        <v>250</v>
      </c>
      <c r="Z312" t="str">
        <f t="shared" si="8"/>
        <v xml:space="preserve">ETIEBET’S HOUSE BRANCH </v>
      </c>
    </row>
    <row r="313" spans="23:26" ht="15.5" customHeight="1">
      <c r="W313" s="27" t="s">
        <v>118</v>
      </c>
      <c r="X313" s="28" t="s">
        <v>44</v>
      </c>
      <c r="Y313" s="28" t="s">
        <v>251</v>
      </c>
      <c r="Z313" t="str">
        <f t="shared" si="8"/>
        <v xml:space="preserve">NUMBER ONE BRANCH </v>
      </c>
    </row>
    <row r="314" spans="23:26" ht="15.5" customHeight="1">
      <c r="W314" s="27" t="s">
        <v>118</v>
      </c>
      <c r="X314" s="28" t="s">
        <v>45</v>
      </c>
      <c r="Y314" s="28" t="s">
        <v>252</v>
      </c>
      <c r="Z314" t="str">
        <f t="shared" si="8"/>
        <v>TRINITY TOWERS BRANCH</v>
      </c>
    </row>
    <row r="315" spans="23:26" ht="15.5" customHeight="1">
      <c r="W315" s="27" t="s">
        <v>110</v>
      </c>
      <c r="X315" s="28" t="s">
        <v>253</v>
      </c>
      <c r="Y315" s="28" t="s">
        <v>254</v>
      </c>
      <c r="Z315" t="str">
        <f t="shared" si="8"/>
        <v>CEMETARY MARKET BRANCH ABA</v>
      </c>
    </row>
    <row r="316" spans="23:26" ht="15.5" customHeight="1">
      <c r="W316" s="27" t="s">
        <v>117</v>
      </c>
      <c r="X316" s="28" t="s">
        <v>255</v>
      </c>
      <c r="Y316" s="28" t="s">
        <v>256</v>
      </c>
      <c r="Z316" t="str">
        <f t="shared" si="8"/>
        <v>ONITSHA - RELIEF MARKET BRANCH</v>
      </c>
    </row>
    <row r="317" spans="23:26" ht="15.5" customHeight="1">
      <c r="W317" s="27" t="s">
        <v>117</v>
      </c>
      <c r="X317" s="28" t="s">
        <v>257</v>
      </c>
      <c r="Y317" s="28" t="s">
        <v>258</v>
      </c>
      <c r="Z317" t="str">
        <f t="shared" si="8"/>
        <v>ONITSHA - 33 TRANS-NKISI BRANCH</v>
      </c>
    </row>
    <row r="318" spans="23:26" ht="15.5" customHeight="1">
      <c r="W318" s="27" t="s">
        <v>117</v>
      </c>
      <c r="X318" s="28" t="s">
        <v>259</v>
      </c>
      <c r="Y318" s="28" t="s">
        <v>260</v>
      </c>
      <c r="Z318" t="str">
        <f t="shared" si="8"/>
        <v>OBA BRANCH</v>
      </c>
    </row>
    <row r="319" spans="23:26" ht="15.5" customHeight="1">
      <c r="W319" s="27" t="s">
        <v>114</v>
      </c>
      <c r="X319" s="28" t="s">
        <v>261</v>
      </c>
      <c r="Y319" s="28" t="s">
        <v>262</v>
      </c>
      <c r="Z319" t="str">
        <f t="shared" si="8"/>
        <v>OWERRI - ALABA MARKET BRANCH</v>
      </c>
    </row>
    <row r="320" spans="23:26" ht="15.5" customHeight="1">
      <c r="W320" s="27" t="s">
        <v>155</v>
      </c>
      <c r="X320" s="28" t="s">
        <v>263</v>
      </c>
      <c r="Y320" s="28" t="s">
        <v>264</v>
      </c>
      <c r="Z320" t="str">
        <f t="shared" si="8"/>
        <v>UNIVERSITY OF IBADANCAMPUS BRANCH</v>
      </c>
    </row>
    <row r="321" spans="23:26" ht="15.5" customHeight="1">
      <c r="W321" s="27" t="s">
        <v>111</v>
      </c>
      <c r="X321" s="28" t="s">
        <v>265</v>
      </c>
      <c r="Y321" s="28" t="s">
        <v>266</v>
      </c>
      <c r="Z321" t="str">
        <f t="shared" si="8"/>
        <v>REGIONAL OFFICE PORT HARCOURT</v>
      </c>
    </row>
    <row r="322" spans="23:26" ht="15.5" customHeight="1">
      <c r="W322" s="27" t="s">
        <v>117</v>
      </c>
      <c r="X322" s="28" t="s">
        <v>267</v>
      </c>
      <c r="Y322" s="28" t="s">
        <v>268</v>
      </c>
      <c r="Z322" t="str">
        <f t="shared" si="8"/>
        <v>AWKUZU BRANCH</v>
      </c>
    </row>
    <row r="323" spans="23:26" ht="15.5" customHeight="1">
      <c r="W323" s="27" t="s">
        <v>111</v>
      </c>
      <c r="X323" s="28" t="s">
        <v>269</v>
      </c>
      <c r="Y323" s="28" t="s">
        <v>270</v>
      </c>
      <c r="Z323" t="str">
        <f t="shared" si="8"/>
        <v>12 ABA ROAD BRANCH</v>
      </c>
    </row>
    <row r="324" spans="23:26" ht="15.5" customHeight="1">
      <c r="W324" s="27" t="s">
        <v>132</v>
      </c>
      <c r="X324" s="28" t="s">
        <v>271</v>
      </c>
      <c r="Y324" s="28" t="s">
        <v>272</v>
      </c>
      <c r="Z324" t="str">
        <f t="shared" si="8"/>
        <v>SABO OWODE-YEWA BRANCH</v>
      </c>
    </row>
    <row r="325" spans="23:26" ht="15.5" customHeight="1">
      <c r="W325" s="27" t="s">
        <v>132</v>
      </c>
      <c r="X325" s="28" t="s">
        <v>273</v>
      </c>
      <c r="Y325" s="28" t="s">
        <v>274</v>
      </c>
      <c r="Z325" t="str">
        <f t="shared" si="8"/>
        <v>IFO BRANCH</v>
      </c>
    </row>
    <row r="326" spans="23:26" ht="15.5" customHeight="1">
      <c r="W326" s="27" t="s">
        <v>2</v>
      </c>
      <c r="X326" s="28" t="s">
        <v>275</v>
      </c>
      <c r="Y326" s="28" t="s">
        <v>276</v>
      </c>
      <c r="Z326" t="str">
        <f t="shared" si="8"/>
        <v>WUYE BRANCH</v>
      </c>
    </row>
    <row r="327" spans="23:26" ht="15.5" customHeight="1">
      <c r="W327" s="27" t="s">
        <v>118</v>
      </c>
      <c r="X327" s="28" t="s">
        <v>46</v>
      </c>
      <c r="Y327" s="28" t="s">
        <v>277</v>
      </c>
      <c r="Z327" t="str">
        <f t="shared" si="8"/>
        <v>ALAGBADO 2</v>
      </c>
    </row>
    <row r="328" spans="23:26" ht="15.5" customHeight="1">
      <c r="W328" s="27" t="s">
        <v>118</v>
      </c>
      <c r="X328" s="28" t="s">
        <v>47</v>
      </c>
      <c r="Y328" s="28" t="s">
        <v>278</v>
      </c>
      <c r="Z328" t="str">
        <f t="shared" si="8"/>
        <v>IDASHO IBEJU BRANCH</v>
      </c>
    </row>
    <row r="329" spans="23:26" ht="15.5" customHeight="1">
      <c r="W329" s="27" t="s">
        <v>151</v>
      </c>
      <c r="X329" s="28" t="s">
        <v>279</v>
      </c>
      <c r="Y329" s="28" t="s">
        <v>280</v>
      </c>
      <c r="Z329" t="str">
        <f t="shared" si="8"/>
        <v>GUMEL BRANCH</v>
      </c>
    </row>
    <row r="330" spans="23:26" ht="15.5" customHeight="1">
      <c r="W330" s="27" t="s">
        <v>111</v>
      </c>
      <c r="X330" s="28" t="s">
        <v>281</v>
      </c>
      <c r="Y330" s="28" t="s">
        <v>282</v>
      </c>
      <c r="Z330" t="str">
        <f t="shared" si="8"/>
        <v>ELELE BRANCH</v>
      </c>
    </row>
    <row r="331" spans="23:26" ht="15.5" customHeight="1">
      <c r="W331" s="27" t="s">
        <v>154</v>
      </c>
      <c r="X331" s="28" t="s">
        <v>283</v>
      </c>
      <c r="Y331" s="28" t="s">
        <v>284</v>
      </c>
      <c r="Z331" t="str">
        <f t="shared" si="8"/>
        <v>KURA BRANCH</v>
      </c>
    </row>
    <row r="332" spans="23:26" ht="15.5" customHeight="1">
      <c r="W332" s="27" t="s">
        <v>154</v>
      </c>
      <c r="X332" s="28" t="s">
        <v>285</v>
      </c>
      <c r="Y332" s="28" t="s">
        <v>286</v>
      </c>
      <c r="Z332" t="str">
        <f t="shared" si="8"/>
        <v>WUDIL BRANCH</v>
      </c>
    </row>
    <row r="333" spans="23:26" ht="15.5" customHeight="1">
      <c r="W333" s="27" t="s">
        <v>143</v>
      </c>
      <c r="X333" s="28" t="s">
        <v>287</v>
      </c>
      <c r="Y333" s="28" t="s">
        <v>288</v>
      </c>
      <c r="Z333" t="str">
        <f t="shared" si="8"/>
        <v>ISE-EKITI BRANCH</v>
      </c>
    </row>
    <row r="334" spans="23:26" ht="15.5" customHeight="1">
      <c r="W334" s="27" t="s">
        <v>111</v>
      </c>
      <c r="X334" s="28" t="s">
        <v>289</v>
      </c>
      <c r="Y334" s="28" t="s">
        <v>290</v>
      </c>
      <c r="Z334" t="str">
        <f t="shared" si="8"/>
        <v>IGWURUTA BRANCH</v>
      </c>
    </row>
    <row r="335" spans="23:26" ht="15.5" customHeight="1">
      <c r="W335" s="27" t="s">
        <v>120</v>
      </c>
      <c r="X335" s="28" t="s">
        <v>291</v>
      </c>
      <c r="Y335" s="28" t="s">
        <v>292</v>
      </c>
      <c r="Z335" t="str">
        <f t="shared" si="8"/>
        <v>BAUCHI 2 BRANCH</v>
      </c>
    </row>
    <row r="336" spans="23:26" ht="15.5" customHeight="1">
      <c r="W336" s="27" t="s">
        <v>120</v>
      </c>
      <c r="X336" s="28" t="s">
        <v>293</v>
      </c>
      <c r="Y336" s="28" t="s">
        <v>294</v>
      </c>
      <c r="Z336" t="str">
        <f t="shared" si="8"/>
        <v>AZARE BRANCH</v>
      </c>
    </row>
    <row r="337" spans="23:26" ht="15.5" customHeight="1">
      <c r="W337" s="27" t="s">
        <v>151</v>
      </c>
      <c r="X337" s="28" t="s">
        <v>295</v>
      </c>
      <c r="Y337" s="28" t="s">
        <v>296</v>
      </c>
      <c r="Z337" t="str">
        <f t="shared" si="8"/>
        <v>TAURA BRANCH</v>
      </c>
    </row>
    <row r="338" spans="23:26" ht="15.5" customHeight="1">
      <c r="W338" s="27" t="s">
        <v>151</v>
      </c>
      <c r="X338" s="28" t="s">
        <v>297</v>
      </c>
      <c r="Y338" s="28" t="s">
        <v>298</v>
      </c>
      <c r="Z338" t="str">
        <f t="shared" si="8"/>
        <v>BIRNIN KUDU BRANCH</v>
      </c>
    </row>
    <row r="339" spans="23:26" ht="15.5" customHeight="1">
      <c r="W339" s="27" t="s">
        <v>158</v>
      </c>
      <c r="X339" s="28" t="s">
        <v>299</v>
      </c>
      <c r="Y339" s="28" t="s">
        <v>300</v>
      </c>
      <c r="Z339" t="str">
        <f t="shared" si="8"/>
        <v>ARGUNGUN BRANCH</v>
      </c>
    </row>
    <row r="340" spans="23:26" ht="15.5" customHeight="1">
      <c r="W340" s="27" t="s">
        <v>158</v>
      </c>
      <c r="X340" s="28" t="s">
        <v>301</v>
      </c>
      <c r="Y340" s="28" t="s">
        <v>302</v>
      </c>
      <c r="Z340" t="str">
        <f t="shared" si="8"/>
        <v>KAMBA BRANCH</v>
      </c>
    </row>
    <row r="341" spans="23:26" ht="15.5" customHeight="1">
      <c r="W341" s="27" t="s">
        <v>162</v>
      </c>
      <c r="X341" s="28" t="s">
        <v>303</v>
      </c>
      <c r="Y341" s="28" t="s">
        <v>304</v>
      </c>
      <c r="Z341" t="str">
        <f t="shared" si="8"/>
        <v>KABBA BRANCH</v>
      </c>
    </row>
    <row r="342" spans="23:26" ht="15.5" customHeight="1">
      <c r="W342" s="27" t="s">
        <v>140</v>
      </c>
      <c r="X342" s="28" t="s">
        <v>305</v>
      </c>
      <c r="Y342" s="28" t="s">
        <v>306</v>
      </c>
      <c r="Z342" t="str">
        <f t="shared" si="8"/>
        <v>SABONGIDA ORA</v>
      </c>
    </row>
    <row r="343" spans="23:26" ht="15.5" customHeight="1">
      <c r="W343" s="27" t="s">
        <v>114</v>
      </c>
      <c r="X343" s="28" t="s">
        <v>307</v>
      </c>
      <c r="Y343" s="28" t="s">
        <v>308</v>
      </c>
      <c r="Z343" t="str">
        <f t="shared" si="8"/>
        <v>ORLU BRANCH</v>
      </c>
    </row>
    <row r="344" spans="23:26" ht="15.5" customHeight="1"/>
    <row r="345" spans="23:26" ht="15.5" customHeight="1"/>
    <row r="346" spans="23:26" ht="15.5" customHeight="1"/>
    <row r="347" spans="23:26" ht="15.5" customHeight="1"/>
    <row r="348" spans="23:26" ht="15.5" customHeight="1"/>
    <row r="349" spans="23:26" ht="15.5" customHeight="1"/>
    <row r="350" spans="23:26" ht="15.5" customHeight="1"/>
    <row r="351" spans="23:26" ht="15.5" customHeight="1"/>
    <row r="352" spans="23:26" ht="15.5" customHeight="1"/>
    <row r="353" ht="15.5" customHeight="1"/>
    <row r="354" ht="15.5" customHeight="1"/>
    <row r="355" ht="15.5" customHeight="1"/>
    <row r="356" ht="15.5" customHeight="1"/>
    <row r="357" ht="15.5" customHeight="1"/>
    <row r="358" ht="15.5" customHeight="1"/>
    <row r="359" ht="15.5" customHeight="1"/>
    <row r="360" ht="15.5" customHeight="1"/>
    <row r="361" ht="15.5" customHeight="1"/>
    <row r="362" ht="15.5" customHeight="1"/>
    <row r="363" ht="15.5" customHeight="1"/>
    <row r="364" ht="15.5" customHeight="1"/>
    <row r="365" ht="15.5" customHeight="1"/>
    <row r="366" ht="15.5" customHeight="1"/>
    <row r="367" ht="15.5" customHeight="1"/>
    <row r="368" ht="15.5" customHeight="1"/>
    <row r="369" ht="15.5" customHeight="1"/>
    <row r="370" ht="15.5" customHeight="1"/>
    <row r="371" ht="15.5" customHeight="1"/>
    <row r="372" ht="15.5" customHeight="1"/>
    <row r="373" ht="15.5" customHeight="1"/>
    <row r="374" ht="15.5" customHeight="1"/>
    <row r="375" ht="15.5" customHeight="1"/>
    <row r="376" ht="15.5" customHeight="1"/>
    <row r="377" ht="15.5" customHeight="1"/>
    <row r="378" ht="15.5" customHeight="1"/>
    <row r="379" ht="15.5" customHeight="1"/>
    <row r="380" ht="15.5" customHeight="1"/>
    <row r="381" ht="15.5" customHeight="1"/>
    <row r="382" ht="15.5" customHeight="1"/>
    <row r="383" ht="15.5" customHeight="1"/>
    <row r="384" ht="15.5" customHeight="1"/>
    <row r="385" ht="15.5" customHeight="1"/>
    <row r="386" ht="15.5" customHeight="1"/>
    <row r="387" ht="15.5" customHeight="1"/>
    <row r="388" ht="15.5" customHeight="1"/>
    <row r="389" ht="15.5" customHeight="1"/>
    <row r="390" ht="15.5" customHeight="1"/>
    <row r="391" ht="15.5" customHeight="1"/>
    <row r="392" ht="15.5" customHeight="1"/>
    <row r="393" ht="15.5" customHeight="1"/>
    <row r="394" ht="15.5" customHeight="1"/>
    <row r="395" ht="15.5" customHeight="1"/>
    <row r="396" ht="15.5" customHeight="1"/>
    <row r="397" ht="15.5" customHeight="1"/>
    <row r="398" ht="15.5" customHeight="1"/>
    <row r="399" ht="15.5" customHeight="1"/>
    <row r="400" ht="15.5" customHeight="1"/>
    <row r="401" ht="15.5" customHeight="1"/>
    <row r="402" ht="15.5" customHeight="1"/>
    <row r="403" ht="15.5" customHeight="1"/>
    <row r="404" ht="15.5" customHeight="1"/>
    <row r="405" ht="15.5" customHeight="1"/>
    <row r="406" ht="15.5" customHeight="1"/>
    <row r="407" ht="15.5" customHeight="1"/>
    <row r="408" ht="15.5" customHeight="1"/>
    <row r="409" ht="15.5" customHeight="1"/>
    <row r="410" ht="15.5" customHeight="1"/>
    <row r="411" ht="15.5" customHeight="1"/>
    <row r="412" ht="15.5" customHeight="1"/>
    <row r="413" ht="15.5" customHeight="1"/>
    <row r="414" ht="15.5" customHeight="1"/>
    <row r="415" ht="15.5" customHeight="1"/>
    <row r="416" ht="15.5" customHeight="1"/>
    <row r="417" ht="15.5" customHeight="1"/>
    <row r="418" ht="15.5" customHeight="1"/>
    <row r="419" ht="15.5" customHeight="1"/>
    <row r="420" ht="15.5" customHeight="1"/>
    <row r="421" ht="15.5" customHeight="1"/>
    <row r="422" ht="15.5" customHeight="1"/>
    <row r="423" ht="15.5" customHeight="1"/>
    <row r="424" ht="15.5" customHeight="1"/>
    <row r="425" ht="15.5" customHeight="1"/>
    <row r="426" ht="15.5" customHeight="1"/>
    <row r="427" ht="15.5" customHeight="1"/>
    <row r="428" ht="15.5" customHeight="1"/>
    <row r="429" ht="15.5" customHeight="1"/>
    <row r="430" ht="15.5" customHeight="1"/>
    <row r="431" ht="15.5" customHeight="1"/>
    <row r="432" ht="15.5" customHeight="1"/>
    <row r="433" ht="15.5" customHeight="1"/>
    <row r="434" ht="15.5" customHeight="1"/>
    <row r="435" ht="15.5" customHeight="1"/>
    <row r="436" ht="15.5" customHeight="1"/>
    <row r="437" ht="15.5" customHeight="1"/>
    <row r="438" ht="15.5" customHeight="1"/>
    <row r="439" ht="15.5" customHeight="1"/>
    <row r="440" ht="15.5" customHeight="1"/>
    <row r="441" ht="15.5" customHeight="1"/>
    <row r="442" ht="15.5" customHeight="1"/>
    <row r="443" ht="15.5" customHeight="1"/>
    <row r="444" ht="15.5" customHeight="1"/>
    <row r="445" ht="15.5" customHeight="1"/>
    <row r="446" ht="15.5" customHeight="1"/>
    <row r="447" ht="15.5" customHeight="1"/>
    <row r="448" ht="15.5" customHeight="1"/>
    <row r="449" ht="15.5" customHeight="1"/>
    <row r="450" ht="15.5" customHeight="1"/>
    <row r="451" ht="15.5" customHeight="1"/>
    <row r="452" ht="15.5" customHeight="1"/>
    <row r="453" ht="15.5" customHeight="1"/>
    <row r="454" ht="15.5" customHeight="1"/>
    <row r="455" ht="15.5" customHeight="1"/>
    <row r="456" ht="15.5" customHeight="1"/>
    <row r="457" ht="15.5" customHeight="1"/>
    <row r="458" ht="15.5" customHeight="1"/>
    <row r="459" ht="15.5" customHeight="1"/>
    <row r="460" ht="15.5" customHeight="1"/>
    <row r="461" ht="15.5" customHeight="1"/>
    <row r="462" ht="15.5" customHeight="1"/>
    <row r="463" ht="15.5" customHeight="1"/>
    <row r="464" ht="15.5" customHeight="1"/>
    <row r="465" ht="15.5" customHeight="1"/>
    <row r="466" ht="15.5" customHeight="1"/>
    <row r="467" ht="15.5" customHeight="1"/>
    <row r="468" ht="15.5" customHeight="1"/>
    <row r="469" ht="15.5" customHeight="1"/>
    <row r="470" ht="15.5" customHeight="1"/>
    <row r="471" ht="15.5" customHeight="1"/>
    <row r="472" ht="15.5" customHeight="1"/>
    <row r="473" ht="15.5" customHeight="1"/>
    <row r="474" ht="15.5" customHeight="1"/>
    <row r="475" ht="15.5" customHeight="1"/>
    <row r="476" ht="15.5" customHeight="1"/>
    <row r="477" ht="15.5" customHeight="1"/>
    <row r="478" ht="15.5" customHeight="1"/>
    <row r="479" ht="15.5" customHeight="1"/>
    <row r="480" ht="15.5" customHeight="1"/>
    <row r="481" ht="15.5" customHeight="1"/>
    <row r="482" ht="15.5" customHeight="1"/>
    <row r="483" ht="15.5" customHeight="1"/>
    <row r="484" ht="15.5" customHeight="1"/>
    <row r="485" ht="15.5" customHeight="1"/>
    <row r="486" ht="15.5" customHeight="1"/>
    <row r="487" ht="15.5" customHeight="1"/>
    <row r="488" ht="15.5" customHeight="1"/>
    <row r="489" ht="15.5" customHeight="1"/>
    <row r="490" ht="15.5" customHeight="1"/>
    <row r="491" ht="15.5" customHeight="1"/>
    <row r="492" ht="15.5" customHeight="1"/>
    <row r="493" ht="15.5" customHeight="1"/>
    <row r="494" ht="15.5" customHeight="1"/>
    <row r="495" ht="15.5" customHeight="1"/>
    <row r="496" ht="15.5" customHeight="1"/>
    <row r="497" ht="15.5" customHeight="1"/>
    <row r="498" ht="15.5" customHeight="1"/>
    <row r="499" ht="15.5" customHeight="1"/>
    <row r="500" ht="15.5" customHeight="1"/>
    <row r="501" ht="15.5" customHeight="1"/>
    <row r="502" ht="15.5" customHeight="1"/>
    <row r="503" ht="15.5" customHeight="1"/>
    <row r="504" ht="15.5" customHeight="1"/>
    <row r="505" ht="15.5" customHeight="1"/>
    <row r="506" ht="15.5" customHeight="1"/>
    <row r="507" ht="15.5" customHeight="1"/>
    <row r="508" ht="15.5" customHeight="1"/>
    <row r="509" ht="15.5" customHeight="1"/>
    <row r="510" ht="15.5" customHeight="1"/>
    <row r="511" ht="15.5" customHeight="1"/>
    <row r="512" ht="15.5" customHeight="1"/>
    <row r="513" ht="15.5" customHeight="1"/>
    <row r="514" ht="15.5" customHeight="1"/>
    <row r="515" ht="15.5" customHeight="1"/>
    <row r="516" ht="15.5" customHeight="1"/>
    <row r="517" ht="15.5" customHeight="1"/>
    <row r="518" ht="15.5" customHeight="1"/>
    <row r="519" ht="15.5" customHeight="1"/>
    <row r="520" ht="15.5" customHeight="1"/>
    <row r="521" ht="15.5" customHeight="1"/>
    <row r="522" ht="15.5" customHeight="1"/>
    <row r="523" ht="15.5" customHeight="1"/>
    <row r="524" ht="15.5" customHeight="1"/>
    <row r="525" ht="15.5" customHeight="1"/>
    <row r="526" ht="15.5" customHeight="1"/>
    <row r="527" ht="15.5" customHeight="1"/>
    <row r="528" ht="15.5" customHeight="1"/>
    <row r="529" ht="15.5" customHeight="1"/>
    <row r="530" ht="15.5" customHeight="1"/>
    <row r="531" ht="15.5" customHeight="1"/>
    <row r="532" ht="15.5" customHeight="1"/>
    <row r="533" ht="15.5" customHeight="1"/>
    <row r="534" ht="15.5" customHeight="1"/>
    <row r="535" ht="15.5" customHeight="1"/>
    <row r="536" ht="15.5" customHeight="1"/>
    <row r="537" ht="15.5" customHeight="1"/>
    <row r="538" ht="15.5" customHeight="1"/>
    <row r="539" ht="15.5" customHeight="1"/>
    <row r="540" ht="15.5" customHeight="1"/>
    <row r="541" ht="15.5" customHeight="1"/>
    <row r="542" ht="15.5" customHeight="1"/>
    <row r="543" ht="15.5" customHeight="1"/>
    <row r="544" ht="15.5" customHeight="1"/>
    <row r="545" spans="1:1" ht="15.5" customHeight="1"/>
    <row r="546" spans="1:1" ht="15.5" customHeight="1"/>
    <row r="547" spans="1:1" ht="15.5" customHeight="1"/>
    <row r="548" spans="1:1" ht="15.5" customHeight="1"/>
    <row r="549" spans="1:1" ht="15.5" customHeight="1"/>
    <row r="550" spans="1:1" ht="15.5" customHeight="1"/>
    <row r="551" spans="1:1" ht="15.5" customHeight="1"/>
    <row r="552" spans="1:1" ht="15.5" customHeight="1"/>
    <row r="553" spans="1:1" ht="15.5" customHeight="1"/>
    <row r="554" spans="1:1" ht="15.5" customHeight="1"/>
    <row r="555" spans="1:1" ht="15.5" customHeight="1"/>
    <row r="556" spans="1:1" ht="15.5" hidden="1" customHeight="1">
      <c r="A556" s="45"/>
    </row>
  </sheetData>
  <mergeCells count="117">
    <mergeCell ref="B190:E190"/>
    <mergeCell ref="G190:I190"/>
    <mergeCell ref="B191:E191"/>
    <mergeCell ref="B192:E192"/>
    <mergeCell ref="B193:E193"/>
    <mergeCell ref="B188:D188"/>
    <mergeCell ref="H188:I188"/>
    <mergeCell ref="B189:D189"/>
    <mergeCell ref="H189:I189"/>
    <mergeCell ref="B183:D183"/>
    <mergeCell ref="H183:I183"/>
    <mergeCell ref="B180:D180"/>
    <mergeCell ref="H180:I180"/>
    <mergeCell ref="B181:D181"/>
    <mergeCell ref="H181:I181"/>
    <mergeCell ref="B186:D186"/>
    <mergeCell ref="H186:I186"/>
    <mergeCell ref="B187:D187"/>
    <mergeCell ref="H187:I187"/>
    <mergeCell ref="B184:D184"/>
    <mergeCell ref="H184:I184"/>
    <mergeCell ref="B185:D185"/>
    <mergeCell ref="H185:I185"/>
    <mergeCell ref="B178:D178"/>
    <mergeCell ref="H178:I178"/>
    <mergeCell ref="B179:D179"/>
    <mergeCell ref="H179:I179"/>
    <mergeCell ref="B176:D176"/>
    <mergeCell ref="H176:I176"/>
    <mergeCell ref="B177:D177"/>
    <mergeCell ref="H177:I177"/>
    <mergeCell ref="B182:D182"/>
    <mergeCell ref="H182:I182"/>
    <mergeCell ref="B171:D171"/>
    <mergeCell ref="H171:I171"/>
    <mergeCell ref="B168:D168"/>
    <mergeCell ref="H168:I168"/>
    <mergeCell ref="B174:D174"/>
    <mergeCell ref="H174:I174"/>
    <mergeCell ref="B175:D175"/>
    <mergeCell ref="H175:I175"/>
    <mergeCell ref="B172:D172"/>
    <mergeCell ref="H172:I172"/>
    <mergeCell ref="B173:D173"/>
    <mergeCell ref="H173:I173"/>
    <mergeCell ref="B164:D164"/>
    <mergeCell ref="H164:I164"/>
    <mergeCell ref="B165:D165"/>
    <mergeCell ref="H165:I165"/>
    <mergeCell ref="B162:D162"/>
    <mergeCell ref="H162:I162"/>
    <mergeCell ref="B163:D163"/>
    <mergeCell ref="H163:I163"/>
    <mergeCell ref="B170:D170"/>
    <mergeCell ref="H169:I169"/>
    <mergeCell ref="H157:I157"/>
    <mergeCell ref="B154:D154"/>
    <mergeCell ref="H154:I154"/>
    <mergeCell ref="B155:D155"/>
    <mergeCell ref="H155:I155"/>
    <mergeCell ref="B160:D160"/>
    <mergeCell ref="H160:I160"/>
    <mergeCell ref="B161:D161"/>
    <mergeCell ref="H161:I161"/>
    <mergeCell ref="B158:D158"/>
    <mergeCell ref="H158:I158"/>
    <mergeCell ref="B159:D159"/>
    <mergeCell ref="H159:I159"/>
    <mergeCell ref="I77:J77"/>
    <mergeCell ref="I78:J78"/>
    <mergeCell ref="I79:J79"/>
    <mergeCell ref="I80:J80"/>
    <mergeCell ref="I81:J81"/>
    <mergeCell ref="I83:J83"/>
    <mergeCell ref="I66:J66"/>
    <mergeCell ref="I67:J67"/>
    <mergeCell ref="I68:J68"/>
    <mergeCell ref="I69:J69"/>
    <mergeCell ref="I71:J71"/>
    <mergeCell ref="I76:J76"/>
    <mergeCell ref="C11:E11"/>
    <mergeCell ref="I11:K11"/>
    <mergeCell ref="C12:F12"/>
    <mergeCell ref="B22:J25"/>
    <mergeCell ref="I64:J64"/>
    <mergeCell ref="I65:J65"/>
    <mergeCell ref="I2:I3"/>
    <mergeCell ref="J2:L3"/>
    <mergeCell ref="C8:G8"/>
    <mergeCell ref="J8:K8"/>
    <mergeCell ref="C9:K9"/>
    <mergeCell ref="C10:E10"/>
    <mergeCell ref="I10:K10"/>
    <mergeCell ref="O150:Q150"/>
    <mergeCell ref="O151:Q151"/>
    <mergeCell ref="O152:Q152"/>
    <mergeCell ref="O153:Q153"/>
    <mergeCell ref="O154:Q154"/>
    <mergeCell ref="O155:Q155"/>
    <mergeCell ref="B227:J227"/>
    <mergeCell ref="B166:D166"/>
    <mergeCell ref="B167:D167"/>
    <mergeCell ref="B169:D169"/>
    <mergeCell ref="H166:I166"/>
    <mergeCell ref="H167:I167"/>
    <mergeCell ref="H170:I170"/>
    <mergeCell ref="B152:D152"/>
    <mergeCell ref="H152:I152"/>
    <mergeCell ref="B153:D153"/>
    <mergeCell ref="H153:I153"/>
    <mergeCell ref="B150:D150"/>
    <mergeCell ref="H150:I150"/>
    <mergeCell ref="B151:D151"/>
    <mergeCell ref="H151:I151"/>
    <mergeCell ref="B156:D156"/>
    <mergeCell ref="H156:I156"/>
    <mergeCell ref="B157:D157"/>
  </mergeCells>
  <dataValidations count="13">
    <dataValidation type="list" allowBlank="1" showInputMessage="1" showErrorMessage="1" sqref="D8:G8" xr:uid="{D08D378B-A84A-4720-B262-13E838B86FE7}">
      <formula1>"ORE BRANCH,OWO BRANCH"</formula1>
    </dataValidation>
    <dataValidation type="list" allowBlank="1" showInputMessage="1" showErrorMessage="1" sqref="C32:C36 C53:C55" xr:uid="{2273C440-CC09-418B-8190-C5485679C6E9}">
      <formula1>$R$27:$R$50</formula1>
    </dataValidation>
    <dataValidation type="list" allowBlank="1" showInputMessage="1" showErrorMessage="1" sqref="E32:E36" xr:uid="{4067A384-B3EA-4658-8888-40FF388C23A9}">
      <formula1>$S$27:$S$35</formula1>
    </dataValidation>
    <dataValidation type="list" allowBlank="1" showInputMessage="1" showErrorMessage="1" sqref="G32:G36" xr:uid="{3F0DEA09-8AAE-4A70-AE95-AC7A2ADB50C0}">
      <formula1>$Q$27:$Q$31</formula1>
    </dataValidation>
    <dataValidation type="list" allowBlank="1" showInputMessage="1" showErrorMessage="1" sqref="I29 I50" xr:uid="{3A884B3D-0DD3-4271-B98A-E1FA26CD535B}">
      <formula1>$P$27:$P$31</formula1>
    </dataValidation>
    <dataValidation type="list" allowBlank="1" showInputMessage="1" showErrorMessage="1" sqref="C29 C50" xr:uid="{2F5F933C-7A8C-494C-A2A1-9F6400972786}">
      <formula1>$O$27:$O$32</formula1>
    </dataValidation>
    <dataValidation type="list" allowBlank="1" showInputMessage="1" showErrorMessage="1" sqref="C19 E19 I19 F38 C38 C57 F57" xr:uid="{DD8CBB71-5033-4BB0-9A8B-5BCCCE39FF61}">
      <formula1>$T$12:$T$14</formula1>
    </dataValidation>
    <dataValidation type="list" allowBlank="1" showInputMessage="1" showErrorMessage="1" sqref="G16" xr:uid="{5CC1C77D-4D2C-46A4-903B-6C612A85521F}">
      <formula1>$S$11:$S$17</formula1>
    </dataValidation>
    <dataValidation type="list" allowBlank="1" showInputMessage="1" showErrorMessage="1" sqref="E16" xr:uid="{0434EE54-CC55-4ECB-886A-1AFFF2D1178C}">
      <formula1>$R$11:$R$13</formula1>
    </dataValidation>
    <dataValidation type="list" allowBlank="1" showInputMessage="1" showErrorMessage="1" sqref="C16" xr:uid="{71BD37D4-ABFE-488B-910D-8B2590EED9C4}">
      <formula1>$Q$11:$Q$14</formula1>
    </dataValidation>
    <dataValidation type="list" allowBlank="1" showInputMessage="1" showErrorMessage="1" sqref="E14" xr:uid="{65FEED42-D840-400E-A76D-231F09FCD116}">
      <formula1>$O$11:$O$15</formula1>
    </dataValidation>
    <dataValidation type="list" allowBlank="1" showInputMessage="1" showErrorMessage="1" sqref="J2:L3" xr:uid="{5EB2EE73-AD00-4EA2-A365-8BE16EC9412B}">
      <formula1>$U$243:$U$270</formula1>
    </dataValidation>
    <dataValidation type="list" allowBlank="1" showInputMessage="1" showErrorMessage="1" sqref="I10:K10" xr:uid="{FDE35D51-E327-469E-B18C-03442442EF1D}">
      <formula1>$E$2:$E$5</formula1>
    </dataValidation>
  </dataValidations>
  <printOptions horizontalCentered="1" verticalCentered="1"/>
  <pageMargins left="0.19685039370078741" right="0.15748031496062992" top="0.19685039370078741" bottom="0.19685039370078741" header="0" footer="0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Audit Form</vt:lpstr>
      <vt:lpstr>'Audit Form'!DynamicList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RpeOluwayomi</dc:creator>
  <cp:lastModifiedBy>Microsoft Office User</cp:lastModifiedBy>
  <dcterms:created xsi:type="dcterms:W3CDTF">2025-02-16T19:40:31Z</dcterms:created>
  <dcterms:modified xsi:type="dcterms:W3CDTF">2025-06-27T07:28:45Z</dcterms:modified>
</cp:coreProperties>
</file>